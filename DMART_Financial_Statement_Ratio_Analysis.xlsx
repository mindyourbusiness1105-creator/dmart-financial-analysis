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b7a9a4434de0627/Desktop/Real Projects/Sector Valuation Engine ^0 Research Note/"/>
    </mc:Choice>
  </mc:AlternateContent>
  <xr:revisionPtr revIDLastSave="107" documentId="11_B5A89C753310D1BF41D1E4AF79A7A7732E5EEEEE" xr6:coauthVersionLast="47" xr6:coauthVersionMax="47" xr10:uidLastSave="{ACED0213-80D4-47F4-ADA0-CA6DCF6188D7}"/>
  <bookViews>
    <workbookView xWindow="-108" yWindow="-108" windowWidth="23256" windowHeight="12456" tabRatio="500" activeTab="1" xr2:uid="{00000000-000D-0000-FFFF-FFFF00000000}"/>
  </bookViews>
  <sheets>
    <sheet name="Cover" sheetId="1" r:id="rId1"/>
    <sheet name="Summary" sheetId="2" r:id="rId2"/>
    <sheet name="Assumption" sheetId="3" r:id="rId3"/>
    <sheet name="Ratio Analysis" sheetId="4" r:id="rId4"/>
    <sheet name="Analysis" sheetId="5" r:id="rId5"/>
    <sheet name="Profit &amp; Loss" sheetId="6" r:id="rId6"/>
    <sheet name="Balance Sheet" sheetId="7" r:id="rId7"/>
    <sheet name="Cashflow Statement" sheetId="8" r:id="rId8"/>
  </sheets>
  <definedNames>
    <definedName name="_xlnm.Print_Area" localSheetId="0">Cover!$A$1:$I$30</definedName>
    <definedName name="_xlnm.Print_Area" localSheetId="1">Summary!$A$1:$I$40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8" i="8" l="1"/>
  <c r="E38" i="8"/>
  <c r="D38" i="8"/>
  <c r="C38" i="8"/>
  <c r="B38" i="8"/>
  <c r="I33" i="5"/>
  <c r="H33" i="5"/>
  <c r="G33" i="5"/>
  <c r="F33" i="5"/>
  <c r="E33" i="5"/>
  <c r="B9" i="5"/>
  <c r="B8" i="5"/>
  <c r="B7" i="5"/>
  <c r="B6" i="5"/>
  <c r="B5" i="5"/>
  <c r="F64" i="4"/>
  <c r="F65" i="4" s="1"/>
  <c r="E64" i="4"/>
  <c r="E65" i="4" s="1"/>
  <c r="D64" i="4"/>
  <c r="D65" i="4" s="1"/>
  <c r="C64" i="4"/>
  <c r="C65" i="4" s="1"/>
  <c r="B64" i="4"/>
  <c r="B65" i="4" s="1"/>
  <c r="E59" i="4"/>
  <c r="C59" i="4"/>
  <c r="F57" i="4"/>
  <c r="F59" i="4" s="1"/>
  <c r="E57" i="4"/>
  <c r="E58" i="4" s="1"/>
  <c r="E60" i="4" s="1"/>
  <c r="D57" i="4"/>
  <c r="D58" i="4" s="1"/>
  <c r="C57" i="4"/>
  <c r="C58" i="4" s="1"/>
  <c r="C60" i="4" s="1"/>
  <c r="B57" i="4"/>
  <c r="B59" i="4" s="1"/>
  <c r="F51" i="4"/>
  <c r="E51" i="4"/>
  <c r="D51" i="4"/>
  <c r="C51" i="4"/>
  <c r="B51" i="4"/>
  <c r="F50" i="4"/>
  <c r="E50" i="4"/>
  <c r="D50" i="4"/>
  <c r="C50" i="4"/>
  <c r="B50" i="4"/>
  <c r="F46" i="4"/>
  <c r="E46" i="4"/>
  <c r="D46" i="4"/>
  <c r="C46" i="4"/>
  <c r="B46" i="4"/>
  <c r="F45" i="4"/>
  <c r="E45" i="4"/>
  <c r="D45" i="4"/>
  <c r="C45" i="4"/>
  <c r="B45" i="4"/>
  <c r="F44" i="4"/>
  <c r="E44" i="4"/>
  <c r="D44" i="4"/>
  <c r="C44" i="4"/>
  <c r="B44" i="4"/>
  <c r="F43" i="4"/>
  <c r="E43" i="4"/>
  <c r="D43" i="4"/>
  <c r="C43" i="4"/>
  <c r="B43" i="4"/>
  <c r="F42" i="4"/>
  <c r="E42" i="4"/>
  <c r="D42" i="4"/>
  <c r="C42" i="4"/>
  <c r="B42" i="4"/>
  <c r="D36" i="4"/>
  <c r="D38" i="4" s="1"/>
  <c r="F34" i="4"/>
  <c r="E34" i="4"/>
  <c r="D34" i="4"/>
  <c r="C34" i="4"/>
  <c r="C36" i="4" s="1"/>
  <c r="B34" i="4"/>
  <c r="F33" i="4"/>
  <c r="F36" i="4" s="1"/>
  <c r="F38" i="4" s="1"/>
  <c r="E33" i="4"/>
  <c r="E36" i="4" s="1"/>
  <c r="D33" i="4"/>
  <c r="D37" i="4" s="1"/>
  <c r="C33" i="4"/>
  <c r="B33" i="4"/>
  <c r="F28" i="4"/>
  <c r="E28" i="4"/>
  <c r="D28" i="4"/>
  <c r="C28" i="4"/>
  <c r="F26" i="4"/>
  <c r="F27" i="4" s="1"/>
  <c r="E26" i="4"/>
  <c r="E27" i="4" s="1"/>
  <c r="D26" i="4"/>
  <c r="D27" i="4" s="1"/>
  <c r="C26" i="4"/>
  <c r="C27" i="4" s="1"/>
  <c r="F25" i="4"/>
  <c r="F52" i="4" s="1"/>
  <c r="E25" i="4"/>
  <c r="E52" i="4" s="1"/>
  <c r="D25" i="4"/>
  <c r="D52" i="4" s="1"/>
  <c r="C25" i="4"/>
  <c r="C52" i="4" s="1"/>
  <c r="F23" i="4"/>
  <c r="F24" i="4" s="1"/>
  <c r="E23" i="4"/>
  <c r="E24" i="4" s="1"/>
  <c r="E53" i="4" s="1"/>
  <c r="D23" i="4"/>
  <c r="D24" i="4" s="1"/>
  <c r="C23" i="4"/>
  <c r="C24" i="4" s="1"/>
  <c r="C53" i="4" s="1"/>
  <c r="F19" i="4"/>
  <c r="E19" i="4"/>
  <c r="D19" i="4"/>
  <c r="C19" i="4"/>
  <c r="B19" i="4"/>
  <c r="F18" i="4"/>
  <c r="E18" i="4"/>
  <c r="D18" i="4"/>
  <c r="C18" i="4"/>
  <c r="B18" i="4"/>
  <c r="F17" i="4"/>
  <c r="E17" i="4"/>
  <c r="D17" i="4"/>
  <c r="C17" i="4"/>
  <c r="B17" i="4"/>
  <c r="F12" i="4"/>
  <c r="E12" i="4"/>
  <c r="D12" i="4"/>
  <c r="C12" i="4"/>
  <c r="B12" i="4"/>
  <c r="F11" i="4"/>
  <c r="G23" i="2" s="1"/>
  <c r="E11" i="4"/>
  <c r="D11" i="4"/>
  <c r="C11" i="4"/>
  <c r="D23" i="2" s="1"/>
  <c r="B11" i="4"/>
  <c r="C23" i="2" s="1"/>
  <c r="F10" i="4"/>
  <c r="F14" i="2" s="1"/>
  <c r="D10" i="4"/>
  <c r="B10" i="4"/>
  <c r="F15" i="2" s="1"/>
  <c r="F5" i="4"/>
  <c r="E5" i="4"/>
  <c r="D5" i="4"/>
  <c r="C5" i="4"/>
  <c r="B5" i="4"/>
  <c r="F4" i="4"/>
  <c r="E4" i="4"/>
  <c r="D4" i="4"/>
  <c r="C4" i="4"/>
  <c r="B4" i="4"/>
  <c r="F3" i="4"/>
  <c r="E3" i="4"/>
  <c r="D3" i="4"/>
  <c r="C3" i="4"/>
  <c r="F5" i="3"/>
  <c r="E5" i="3"/>
  <c r="E10" i="4" s="1"/>
  <c r="D5" i="3"/>
  <c r="C5" i="3"/>
  <c r="C10" i="4" s="1"/>
  <c r="B5" i="3"/>
  <c r="B3" i="3"/>
  <c r="F23" i="2"/>
  <c r="E23" i="2"/>
  <c r="G22" i="2"/>
  <c r="C22" i="2"/>
  <c r="G21" i="2"/>
  <c r="F21" i="2"/>
  <c r="E21" i="2"/>
  <c r="D21" i="2"/>
  <c r="C21" i="2"/>
  <c r="G20" i="2"/>
  <c r="F20" i="2"/>
  <c r="E20" i="2"/>
  <c r="E22" i="2" s="1"/>
  <c r="D20" i="2"/>
  <c r="C20" i="2"/>
  <c r="G19" i="2"/>
  <c r="F19" i="2"/>
  <c r="F22" i="2" s="1"/>
  <c r="E19" i="2"/>
  <c r="D19" i="2"/>
  <c r="D22" i="2" s="1"/>
  <c r="C19" i="2"/>
  <c r="H15" i="2"/>
  <c r="D15" i="2"/>
  <c r="B15" i="2"/>
  <c r="H14" i="2"/>
  <c r="D14" i="2"/>
  <c r="B14" i="2"/>
  <c r="F53" i="4" l="1"/>
  <c r="D53" i="4"/>
  <c r="C37" i="4"/>
  <c r="C38" i="4"/>
  <c r="E38" i="4"/>
  <c r="E37" i="4"/>
  <c r="B37" i="4"/>
  <c r="B36" i="4"/>
  <c r="B38" i="4" s="1"/>
  <c r="F37" i="4"/>
  <c r="D59" i="4"/>
  <c r="D60" i="4" s="1"/>
  <c r="F58" i="4"/>
  <c r="F60" i="4" s="1"/>
</calcChain>
</file>

<file path=xl/sharedStrings.xml><?xml version="1.0" encoding="utf-8"?>
<sst xmlns="http://schemas.openxmlformats.org/spreadsheetml/2006/main" count="345" uniqueCount="291">
  <si>
    <t>DMART (AVENUE SUPERMARTS LTD.)</t>
  </si>
  <si>
    <t>Financial Statement &amp; Ratio Analysis  |  FY2022 – FY2026</t>
  </si>
  <si>
    <t>5-YEAR FUNDAMENTAL &amp; RATIO ANALYSIS   |   CONSOLIDATED FINANCIALS (FY22–FY26)</t>
  </si>
  <si>
    <t>Prepared By</t>
  </si>
  <si>
    <t>Purpose</t>
  </si>
  <si>
    <t>Independent portfolio exercise applying financial statement analysis, ratio interpretation and working-capital modelling to a live listed company</t>
  </si>
  <si>
    <t>Company Analysed</t>
  </si>
  <si>
    <t>Period Covered</t>
  </si>
  <si>
    <t>FY2022–FY2026 (Indian FY: April–March), Consolidated Financials</t>
  </si>
  <si>
    <t>Data Source</t>
  </si>
  <si>
    <t>Screener.in and DMART Annual Reports; extracted via a self-written Python (yfinance) script into this workbook</t>
  </si>
  <si>
    <t>Tools Used</t>
  </si>
  <si>
    <t>Microsoft Excel (formula-driven model with native charts) and Python (data extraction &amp; automation)</t>
  </si>
  <si>
    <t>Report Contains</t>
  </si>
  <si>
    <t>Assumptions &amp; definitions, ratio analysis, Baumol cash model, key observations, and full P&amp;L / Balance Sheet / Cash Flow statements</t>
  </si>
  <si>
    <t>CONTENTS OF THIS WORKBOOK</t>
  </si>
  <si>
    <t>Assumption</t>
  </si>
  <si>
    <t>Standard assumptions, formula definitions and data-source notes for every ratio used</t>
  </si>
  <si>
    <t>Ratio Analysis</t>
  </si>
  <si>
    <t>Trend, Profitability, Liquidity, Inventory, Cash Management (Baumol Model), Leverage &amp; Efficiency ratios</t>
  </si>
  <si>
    <t>Analysis</t>
  </si>
  <si>
    <t>Key observations and interpretation, with supporting charts</t>
  </si>
  <si>
    <t>Profit &amp; Loss</t>
  </si>
  <si>
    <t>5-year Profit &amp; Loss statement (₹ Crores)</t>
  </si>
  <si>
    <t>Balance Sheet</t>
  </si>
  <si>
    <t>5-year Balance Sheet (₹ Crores)</t>
  </si>
  <si>
    <t>Cashflow Statement</t>
  </si>
  <si>
    <t>5-year Cash Flow Statement (₹ Crores)</t>
  </si>
  <si>
    <t>Disclaimer: Prepared solely as an academic/portfolio exercise to demonstrate financial statement analysis skills. This is not investment advice or a research report under SEBI (Research Analysts) Regulations. Figures are sourced from publicly available data (Screener.in / Annual Reports) and may contain rounding differences. Market Value Ratios are excluded as live market price data was not used.</t>
  </si>
  <si>
    <t>EXECUTIVE SUMMARY</t>
  </si>
  <si>
    <t>Avenue Supermarts Ltd. (DMART)  —  FY2022–FY2026 Financial Statement &amp; Ratio Analysis</t>
  </si>
  <si>
    <t>ANALYST VERDICT — FY26</t>
  </si>
  <si>
    <t>FY26 SNAPSHOT  (vs. FY22)</t>
  </si>
  <si>
    <t>Revenue (₹ Cr)</t>
  </si>
  <si>
    <t>Net Profit (₹ Cr)</t>
  </si>
  <si>
    <t>ROCE</t>
  </si>
  <si>
    <t>ROE</t>
  </si>
  <si>
    <t>DUPONT ROE DECOMPOSITION  (Net Margin × Asset Turnover × Equity Multiplier = ROE)</t>
  </si>
  <si>
    <t>Component</t>
  </si>
  <si>
    <t>FY22</t>
  </si>
  <si>
    <t>FY23</t>
  </si>
  <si>
    <t>FY24</t>
  </si>
  <si>
    <t>FY25</t>
  </si>
  <si>
    <t>FY26</t>
  </si>
  <si>
    <t>Net Profit Margin (Net Profit / Sales)</t>
  </si>
  <si>
    <t>Asset Turnover (Sales / Total Assets)</t>
  </si>
  <si>
    <t>Equity Multiplier (Total Assets / Equity)</t>
  </si>
  <si>
    <t>Reported ROE (Ratio Analysis tab, cross-check)</t>
  </si>
  <si>
    <t>STRENGTHS</t>
  </si>
  <si>
    <t>AREAS TO WATCH</t>
  </si>
  <si>
    <t>✓  Very low leverage: Debt-to-Equity just 0.10x in FY26; Interest Coverage 29.7x</t>
  </si>
  <si>
    <t>!  ROCE and ROE both declined from their FY23 peak (14.3%→11.5% and 14.8%→12.1%)</t>
  </si>
  <si>
    <t>✓  Revenue more than doubled over FY22–FY26 (₹30,976 Cr → ₹68,821 Cr)</t>
  </si>
  <si>
    <t>!  Current Ratio nearly halved (3.7x→2.0x) and Cash Ratio fell sharply (0.96x→0.08x)</t>
  </si>
  <si>
    <t>✓  Gross margin stable at ~15% throughout the period — pricing/sourcing discipline intact</t>
  </si>
  <si>
    <t>!  First-time short-term borrowings (₹965 Cr) appear in FY26 — new for this balance sheet</t>
  </si>
  <si>
    <t>✓  Strong free-cash-generating core operations; investing cash use is capex-led, not distress-led</t>
  </si>
  <si>
    <t>!  Inventory Days rising (28→32) alongside quick-commerce user growth — worth monitoring</t>
  </si>
  <si>
    <t>METHODOLOGY &amp; DATA PIPELINE</t>
  </si>
  <si>
    <t>Data extraction</t>
  </si>
  <si>
    <t>Model construction</t>
  </si>
  <si>
    <t>All ratios in this workbook are formula-driven (not hardcoded), linked live to the Profit &amp; Loss, Balance Sheet, and Cash Flow tabs, so the model recalculates automatically if source figures are updated.</t>
  </si>
  <si>
    <t>Analytical layers applied</t>
  </si>
  <si>
    <t>Trend analysis, DuPont ROE decomposition, liquidity/leverage/efficiency ratios, Baumol optimal cash balance model, and operating/financial/combined leverage (DOL/DFL/DCL).</t>
  </si>
  <si>
    <t>Repository structure</t>
  </si>
  <si>
    <t>main.py (data extraction) and this workbook (analysis layer) form one pipeline: raw data in, audited financial model out.</t>
  </si>
  <si>
    <t>Limitations: Market Value Ratios (P/E, P/B, EV/EBITDA) are excluded as live market price data was not incorporated. This is a financial statement and ratio analysis, not a valuation or investment recommendation.</t>
  </si>
  <si>
    <t>Standard Assumptions</t>
  </si>
  <si>
    <t>BASE YEAR FOR TREND ANALYSIS</t>
  </si>
  <si>
    <t>Gross Profit</t>
  </si>
  <si>
    <t>Capital Employed</t>
  </si>
  <si>
    <t>O (Transaction Cost per Conversion)</t>
  </si>
  <si>
    <t>Since the company's actual treasury transaction cost is not publicly disclosed, ₹500 per conversion has been assumed as a standard transaction cost for the purpose of applying the Baumol Cash Management Model. This assumption is consistent with the ₹500 per conversion used in an ICMAI Financial Management worked example.</t>
  </si>
  <si>
    <t>C (Opportunity Cost of Cash)</t>
  </si>
  <si>
    <t>The opportunity cost of cash is assumed based on the RBI-published Weighted Average Domestic Term Deposit Rate (WADTDR) for fresh rupee term deposits, used as a proxy for the return that could have been earned by investing idle cash in bank fixed/term deposits.</t>
  </si>
  <si>
    <t>Additional Assumptions</t>
  </si>
  <si>
    <t>Screener.in / DMART Annual Reports (Consolidated Financials, FY22-FY26)</t>
  </si>
  <si>
    <t>Currency &amp; Units</t>
  </si>
  <si>
    <t>All figures in ₹ Crores unless stated otherwise</t>
  </si>
  <si>
    <t>Financial Year Convention</t>
  </si>
  <si>
    <t>FY22 = Year ended March 2022, and so on (Indian FY: April-March)</t>
  </si>
  <si>
    <t>Gross Profit Margin %</t>
  </si>
  <si>
    <t>Gross Profit / Sales</t>
  </si>
  <si>
    <t>EBITDA Margin %</t>
  </si>
  <si>
    <t>Operating Profit (EBITDA) / Sales</t>
  </si>
  <si>
    <t>Net Profit Margin %</t>
  </si>
  <si>
    <t>Net Profit / Sales</t>
  </si>
  <si>
    <t>Net Profit / Capital Employed (Capital Employed = Total Assets - Total Current Liabilities)</t>
  </si>
  <si>
    <t>Net Profit / Shareholders' Equity (Equity Capital + Reserves)</t>
  </si>
  <si>
    <t>Current Ratio</t>
  </si>
  <si>
    <t>Total Current Assets / Total Current Liabilities</t>
  </si>
  <si>
    <t>Quick Ratio</t>
  </si>
  <si>
    <t>(Total Assets - Inventories) / Total Current Liabilities</t>
  </si>
  <si>
    <t>Cash Ratio</t>
  </si>
  <si>
    <t>Cash Equivalents / Total Current Liabilities</t>
  </si>
  <si>
    <t>Inventory Turnover Ratio</t>
  </si>
  <si>
    <t>Expenses (COGS proxy) / Average Inventory</t>
  </si>
  <si>
    <t>Inventory Days</t>
  </si>
  <si>
    <t>365 / Inventory Turnover Ratio</t>
  </si>
  <si>
    <t>Receivables Turnover</t>
  </si>
  <si>
    <t>Sales / Average Trade Receivables</t>
  </si>
  <si>
    <t>Payables Turnover</t>
  </si>
  <si>
    <t>Expenses (COGS proxy) / Average Trade Payables</t>
  </si>
  <si>
    <t>Payable Days</t>
  </si>
  <si>
    <t>365 / Payables Turnover</t>
  </si>
  <si>
    <t>Asset Turnover</t>
  </si>
  <si>
    <t>Sales / Average Total Assets</t>
  </si>
  <si>
    <t>Base Year Treatment</t>
  </si>
  <si>
    <t>FY22 is the base year for YoY trend analysis; growth % is left blank as no prior year exists</t>
  </si>
  <si>
    <t>Leverage &amp; Solvency, Efficiency, and Leverage Analysis Definitions</t>
  </si>
  <si>
    <t>Debt-to-Equity Ratio</t>
  </si>
  <si>
    <t>Total Borrowings / Shareholders' Equity (Equity Capital + Reserves)</t>
  </si>
  <si>
    <t>Debt-to-Assets Ratio</t>
  </si>
  <si>
    <t>Total Borrowings / Total Assets</t>
  </si>
  <si>
    <t>Equity Multiplier</t>
  </si>
  <si>
    <t>Total Assets / Shareholders' Equity</t>
  </si>
  <si>
    <t>Interest Coverage Ratio</t>
  </si>
  <si>
    <t>EBIT / Interest Expense (EBIT = Profit Before Tax + Interest)</t>
  </si>
  <si>
    <t>Total Liabilities to Equity</t>
  </si>
  <si>
    <t>Total Liabilities / Shareholders' Equity</t>
  </si>
  <si>
    <t>Working Capital Turnover</t>
  </si>
  <si>
    <t>Sales / Net Working Capital (Total Current Assets - Total Current Liabilities)</t>
  </si>
  <si>
    <t>Fixed Asset Turnover</t>
  </si>
  <si>
    <t>Sales / Net Fixed Assets</t>
  </si>
  <si>
    <t>Receivable Days</t>
  </si>
  <si>
    <t>365 / Receivables Turnover</t>
  </si>
  <si>
    <t>Cash Conversion Cycle</t>
  </si>
  <si>
    <t>Inventory Days + Receivable Days - Payable Days</t>
  </si>
  <si>
    <t>EBIT</t>
  </si>
  <si>
    <t>Profit Before Tax + Interest (used as the EBIT proxy throughout, since this P&amp;L layout does not report EBIT directly)</t>
  </si>
  <si>
    <t>DOL (Degree of Operating Leverage)</t>
  </si>
  <si>
    <t>% change in EBIT / % change in Sales (YoY basis; blank for FY22 base year as no prior year exists). Calculated off P&amp;L trend data since a fixed-cost/variable-cost split is not disclosed.</t>
  </si>
  <si>
    <t>DFL (Degree of Financial Leverage)</t>
  </si>
  <si>
    <t>EBIT / Profit Before Tax (equivalent to EBIT / (EBIT - Interest))</t>
  </si>
  <si>
    <t>DCL (Degree of Combined Leverage)</t>
  </si>
  <si>
    <t>DOL x DFL</t>
  </si>
  <si>
    <t>Net Working Capital (NWC)</t>
  </si>
  <si>
    <t>Total Current Assets - Total Current Liabilities</t>
  </si>
  <si>
    <t>Return on Working Capital (ROWC)</t>
  </si>
  <si>
    <t>Operating Profit (EBITDA) / Net Working Capital</t>
  </si>
  <si>
    <t>Market Value Ratios</t>
  </si>
  <si>
    <t>Not calculated - requires DMART's market share price and shares outstanding, which are not part of this workbook's data</t>
  </si>
  <si>
    <t>Trend Analysis</t>
  </si>
  <si>
    <t>YoY Trend Analysis</t>
  </si>
  <si>
    <t>Sales Growth %</t>
  </si>
  <si>
    <t>N/A</t>
  </si>
  <si>
    <t>Profitability Ratio</t>
  </si>
  <si>
    <t>Profitability Ratio:</t>
  </si>
  <si>
    <t>Mar-22</t>
  </si>
  <si>
    <t>Mar-23</t>
  </si>
  <si>
    <t>Mar-24</t>
  </si>
  <si>
    <t>Mar-25</t>
  </si>
  <si>
    <t>Mar-26</t>
  </si>
  <si>
    <t xml:space="preserve">Liquidity Ratio </t>
  </si>
  <si>
    <t>Liquidity Ratio:</t>
  </si>
  <si>
    <t>Inventory Turnover</t>
  </si>
  <si>
    <t>Inventory Turnover:</t>
  </si>
  <si>
    <t>Cash Management Analysis – Baumol Model</t>
  </si>
  <si>
    <t>Cash Management:</t>
  </si>
  <si>
    <t>Annual Cash Requirement (A)</t>
  </si>
  <si>
    <t>Transaction Cost per Conversion (O)</t>
  </si>
  <si>
    <t>Opportunity Cost of Cash (C)</t>
  </si>
  <si>
    <t>Optimal Cash Balance</t>
  </si>
  <si>
    <t>Cash Conversion Frequency</t>
  </si>
  <si>
    <t>Average Cash Balance</t>
  </si>
  <si>
    <t>Leverage &amp; Solvency Ratios</t>
  </si>
  <si>
    <t>Leverage &amp; Solvency:</t>
  </si>
  <si>
    <t>Efficiency Ratios</t>
  </si>
  <si>
    <t>Efficiency Ratio:</t>
  </si>
  <si>
    <t>Cash Conversion Cycle (Days)</t>
  </si>
  <si>
    <t>Leverage Analysis (DOL, DFL, DCL)</t>
  </si>
  <si>
    <t>Leverage Analysis:</t>
  </si>
  <si>
    <t>EBIT (PBT + Interest)</t>
  </si>
  <si>
    <t>Net Working Capital &amp; Return on Working Capital (ROWC)</t>
  </si>
  <si>
    <t>NWC / ROWC:</t>
  </si>
  <si>
    <t>Interpretation (latest year, FY26)</t>
  </si>
  <si>
    <t>Interpretation for every Rs. 100: Because ROWC is 140.4%, it means every Rs. 100 of working capital (net current assets) actively tied up in the business generates Rs. 140.4 of operating profit (EBITDA).</t>
  </si>
  <si>
    <t>Key Observations</t>
  </si>
  <si>
    <t>1. Sales growth remained positive but slowed from 38% in Mar-23 to 16% in Mar-26. Over the same period, unique annual transacting users on quick-commerce platforms increased substantially. This suggests growing consumer adoption of quick commerce, although the data alone does not prove that customers are shifting directly from DMart.</t>
  </si>
  <si>
    <t>Year</t>
  </si>
  <si>
    <t>Unique Annual Transacting Users (Crores)</t>
  </si>
  <si>
    <t>Note: This data shows the number of unique annual transacting users active on quick-commerce platforms, including Blinkit, Zepto, Swiggy Instamart, and Amazon Fresh.</t>
  </si>
  <si>
    <t>3. In Mar-26, the company incurred ₹92.46 of expenses for every ₹100 of sales. As revenue more than doubled from approximately ₹30,976 crore in Mar-22 to ₹68,821 crore in Mar-26, operating expenses increased at a broadly similar rate, leaving the expense-to-sales ratio largely unchanged.</t>
  </si>
  <si>
    <t>Expenses per ₹100 of Sales</t>
  </si>
  <si>
    <t>4. Trade payables increased to ₹1,338 crore by Mar-26, while inventory rose to ₹5,901 crore. The simultaneous increase is consistent with higher working-capital requirements associated with business expansion; however, the available data does not establish the specific operational cause.</t>
  </si>
  <si>
    <t>5. Cash outflow from investing activities increased from ₹2,185 crore in Mar-25 to ₹4,207 crore in Mar-26, an increase of approximately 92.5%. The increase was primarily associated with higher purchases of fixed assets.</t>
  </si>
  <si>
    <t>6. The inventory turnover ratio declined from 13.1x in Mar-23 to 11.6x in Mar-26, while inventory days increased from 28 to 32 days. This indicates slower inventory movement over the period; however, the available data does not establish quick commerce as the cause.</t>
  </si>
  <si>
    <t>Profit &amp; Loss Statement</t>
  </si>
  <si>
    <t>Figures are Represented (₹ in Crores)</t>
  </si>
  <si>
    <t>Sales -</t>
  </si>
  <si>
    <t>Expenses -</t>
  </si>
  <si>
    <t>Material Cost % -</t>
  </si>
  <si>
    <t>Raw material cost</t>
  </si>
  <si>
    <t>Change in inventory</t>
  </si>
  <si>
    <t>Manufacturing Cost %</t>
  </si>
  <si>
    <t>Employee Cost %</t>
  </si>
  <si>
    <t>Other Cost %</t>
  </si>
  <si>
    <t>Operating Profit (EBITDA)</t>
  </si>
  <si>
    <t>Other Income -</t>
  </si>
  <si>
    <t>Exceptional items</t>
  </si>
  <si>
    <t>Other income normal</t>
  </si>
  <si>
    <t>Interest</t>
  </si>
  <si>
    <t>Depreciation</t>
  </si>
  <si>
    <t>Profit before tax</t>
  </si>
  <si>
    <t>Tax %</t>
  </si>
  <si>
    <t>Net Profit -</t>
  </si>
  <si>
    <t>Exceptional items AT</t>
  </si>
  <si>
    <t>Profit excl Excep</t>
  </si>
  <si>
    <t>Profit for PE</t>
  </si>
  <si>
    <t>Profit for EPS</t>
  </si>
  <si>
    <t>Equity Capital</t>
  </si>
  <si>
    <t>Reserves</t>
  </si>
  <si>
    <t>Borrowings -</t>
  </si>
  <si>
    <t>Long term Borrowings</t>
  </si>
  <si>
    <t>Short term Borrowings</t>
  </si>
  <si>
    <t>Lease Liabilities</t>
  </si>
  <si>
    <t>Other Borrowings</t>
  </si>
  <si>
    <t>Other Liabilities -</t>
  </si>
  <si>
    <t>Non controlling int</t>
  </si>
  <si>
    <t>Trade Payables</t>
  </si>
  <si>
    <t>Other liability items</t>
  </si>
  <si>
    <t>Total Current Liabilities</t>
  </si>
  <si>
    <t>Total Liabilities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</si>
  <si>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</si>
  <si>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</si>
  <si>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</si>
  <si>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</si>
  <si>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</si>
  <si>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</si>
  <si>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</si>
  <si>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</si>
  <si>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</si>
  <si>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</si>
  <si>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</si>
  <si>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</si>
  <si>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</si>
  <si>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Investments</t>
  </si>
  <si>
    <t>Other Assets -</t>
  </si>
  <si>
    <t>Inventories</t>
  </si>
  <si>
    <t>Trade receivables</t>
  </si>
  <si>
    <t>Cash Equivalents</t>
  </si>
  <si>
    <t>Loans n Advances</t>
  </si>
  <si>
    <t>Other asset items</t>
  </si>
  <si>
    <t>Total Current Assets</t>
  </si>
  <si>
    <t>Total Assets</t>
  </si>
  <si>
    <t>Cashflow Statements</t>
  </si>
  <si>
    <t>Cash from Operating Activity -</t>
  </si>
  <si>
    <t>Profit from operations</t>
  </si>
  <si>
    <t>Receivables</t>
  </si>
  <si>
    <t>Inventory</t>
  </si>
  <si>
    <t>Payables</t>
  </si>
  <si>
    <t>Loans Advances</t>
  </si>
  <si>
    <t>Operating investments</t>
  </si>
  <si>
    <t>Other WC items</t>
  </si>
  <si>
    <t>Working capital changes</t>
  </si>
  <si>
    <t>Direct taxes</t>
  </si>
  <si>
    <t>Cash from Investing Activity -</t>
  </si>
  <si>
    <t>Fixed assets purchased</t>
  </si>
  <si>
    <t>Fixed assets sold</t>
  </si>
  <si>
    <t>Investments purchased</t>
  </si>
  <si>
    <t>Investments sold</t>
  </si>
  <si>
    <t>Investment income</t>
  </si>
  <si>
    <t>Interest received</t>
  </si>
  <si>
    <t>Dividends received</t>
  </si>
  <si>
    <t>Investment in group cos</t>
  </si>
  <si>
    <t>Redemp n Canc of Shares</t>
  </si>
  <si>
    <t>Other investing items</t>
  </si>
  <si>
    <t>Cash from Financing Activity -</t>
  </si>
  <si>
    <t>Proceeds from shares</t>
  </si>
  <si>
    <t>Proceeds from debentures</t>
  </si>
  <si>
    <t>Redemption of debentures</t>
  </si>
  <si>
    <t>Proceeds from borrowings</t>
  </si>
  <si>
    <t>Repayment of borrowings</t>
  </si>
  <si>
    <t>Interest paid fin</t>
  </si>
  <si>
    <t>Financial liabilities</t>
  </si>
  <si>
    <t>Share application money</t>
  </si>
  <si>
    <t>Application money refund</t>
  </si>
  <si>
    <t>Other financing items</t>
  </si>
  <si>
    <t>Net Cash Flow</t>
  </si>
  <si>
    <t>Free Cash Flow</t>
  </si>
  <si>
    <t>ANNUAL CASH REQUIREMENTS</t>
  </si>
  <si>
    <t>Mihir, CMA Intermediate student, ICMAI</t>
  </si>
  <si>
    <t>Avenue Supermarts Ltd. (NSE: DMART)  | Organised Retail / Hypermarket</t>
  </si>
  <si>
    <t>DMart remains a financially sound, low-leverage retailer that has more than doubled revenue over FY22–FY26 (₹30,976 Cr to ₹68,821 Cr), but its FY23 peak in capital efficiency has not been repeated. ROCE has declined from 14.3% (FY23) to 11.5% (FY26) and ROE from 14.8% to 12.1%, even as the balance sheet stayed conservative (Debt-to-Equity of just 0.10x). Margins are broadly stable but under mild pressure, EBITDA margin has slipped from 8.5% (FY23) to 7.5% (FY26) — while liquidity, though still comfortable, has thinned considerably (Current Ratio down from 3.7x to 2.0x; Cash Ratio down from 0.96x to 0.08x). The combination of slowing sales growth (38% in FY23 to 16% in FY26), rising capex intensity, and a first-time use of short-term borrowings in FY26 suggests a business self-funding an aggressive store-expansion and quick-commerce response, at some cost to near-term capital efficiency. None of this indicates financial distress — coverage and solvency remain very strong — but the FY23-to-FY26 direction of travel on returns and liquidity is the trend worth monitoring.</t>
  </si>
  <si>
    <r>
      <t xml:space="preserve">A self-written </t>
    </r>
    <r>
      <rPr>
        <b/>
        <sz val="9.5"/>
        <color rgb="FFFF0000"/>
        <rFont val="Arial"/>
        <family val="2"/>
      </rPr>
      <t>Python script (main.py)</t>
    </r>
    <r>
      <rPr>
        <sz val="9.5"/>
        <color rgb="FF1F2937"/>
        <rFont val="Arial"/>
        <charset val="1"/>
      </rPr>
      <t xml:space="preserve"> pulls DMart's historical financial statements via the yfinance API and writes them into a structured Excel output — automating what would otherwise be manual copy-paste from Screener.in / annual reports.</t>
    </r>
  </si>
  <si>
    <t>ROE (computed)</t>
  </si>
  <si>
    <t>The company became highly efficient at sweat-testing its assets to generate revenue up until FY25. The reversal in FY26 implies that either revenue growth slowed down significantly or the company took on underutilized assets that aren't yet generating proportional sales.</t>
  </si>
  <si>
    <t>The Company is converting less of its sales into bottom line profit. This indicates intensifying pressure on core operating margine, rising overheads, or higher interest/tax expenses.</t>
  </si>
  <si>
    <t>For four years, management kept a conservative debt profile. The spike in FY26 shows the company added significant leverage (taking on more debt relative to equity).</t>
  </si>
  <si>
    <t>NOTES:</t>
  </si>
  <si>
    <t>2. Return on Capital Employed (ROCE) increased from 10% in Mar-22 to 14% in Mar-23, then declined to 12% by Mar-26. This indicates that capital efficiency has weakened from its Mar-23 peak, although ROCE remains above the    Mar-22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</si>
</sst>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x"/>
    <numFmt numFmtId="166" formatCode="mmm\-yy"/>
    <numFmt numFmtId="167" formatCode="0.0\x"/>
    <numFmt numFmtId="168" formatCode="0.0"/>
    <numFmt numFmtId="169" formatCode="&quot;₹ &quot;#,##0;[Red]&quot;₹ -&quot;#,##0"/>
    <numFmt numFmtId="170" formatCode="_ &quot;₹ &quot;* #,##0_ ;_ &quot;₹ &quot;* \-#,##0_ ;_ &quot;₹ &quot;* \-??_ ;_ @_ "/>
  </numFmts>
  <fonts count="39" x14ac:knownFonts="1">
    <font>
      <sz val="11"/>
      <color theme="1"/>
      <name val="Calibri"/>
      <family val="2"/>
      <charset val="1"/>
    </font>
    <font>
      <sz val="18"/>
      <color theme="1"/>
      <name val="Calibri"/>
      <family val="2"/>
      <charset val="1"/>
    </font>
    <font>
      <b/>
      <sz val="22"/>
      <color rgb="FF17365D"/>
      <name val="Arial"/>
      <charset val="1"/>
    </font>
    <font>
      <sz val="13"/>
      <color rgb="FF2F75B5"/>
      <name val="Arial"/>
      <charset val="1"/>
    </font>
    <font>
      <b/>
      <sz val="10.5"/>
      <color rgb="FFFFFFFF"/>
      <name val="Arial"/>
      <charset val="1"/>
    </font>
    <font>
      <b/>
      <sz val="10"/>
      <color rgb="FF1F2937"/>
      <name val="Arial"/>
      <charset val="1"/>
    </font>
    <font>
      <sz val="10"/>
      <color rgb="FF1F2937"/>
      <name val="Arial"/>
      <charset val="1"/>
    </font>
    <font>
      <b/>
      <sz val="9.5"/>
      <color rgb="FF17365D"/>
      <name val="Arial"/>
      <charset val="1"/>
    </font>
    <font>
      <sz val="9.5"/>
      <color rgb="FF1F2937"/>
      <name val="Arial"/>
      <charset val="1"/>
    </font>
    <font>
      <i/>
      <sz val="8.5"/>
      <color rgb="FF5B6573"/>
      <name val="Arial"/>
      <charset val="1"/>
    </font>
    <font>
      <b/>
      <sz val="20"/>
      <color rgb="FF17365D"/>
      <name val="Arial"/>
      <charset val="1"/>
    </font>
    <font>
      <sz val="11"/>
      <color rgb="FF2F75B5"/>
      <name val="Arial"/>
      <charset val="1"/>
    </font>
    <font>
      <b/>
      <sz val="11"/>
      <color rgb="FFFFFFFF"/>
      <name val="Arial"/>
      <charset val="1"/>
    </font>
    <font>
      <b/>
      <sz val="9"/>
      <color rgb="FF5B6573"/>
      <name val="Arial"/>
      <charset val="1"/>
    </font>
    <font>
      <b/>
      <sz val="16"/>
      <color rgb="FF17365D"/>
      <name val="Arial"/>
      <charset val="1"/>
    </font>
    <font>
      <b/>
      <sz val="9.5"/>
      <color rgb="FFFFFFFF"/>
      <name val="Arial"/>
      <charset val="1"/>
    </font>
    <font>
      <sz val="9"/>
      <color rgb="FF1F2937"/>
      <name val="Arial"/>
      <charset val="1"/>
    </font>
    <font>
      <b/>
      <sz val="9.5"/>
      <color rgb="FF1F2937"/>
      <name val="Arial"/>
      <charset val="1"/>
    </font>
    <font>
      <b/>
      <sz val="16"/>
      <color rgb="FFFFFFFF"/>
      <name val="Arial"/>
      <family val="2"/>
      <charset val="1"/>
    </font>
    <font>
      <b/>
      <sz val="10"/>
      <color rgb="FF1F2937"/>
      <name val="Arial"/>
      <family val="2"/>
      <charset val="1"/>
    </font>
    <font>
      <sz val="10"/>
      <color rgb="FF1F2937"/>
      <name val="Arial"/>
      <family val="2"/>
      <charset val="1"/>
    </font>
    <font>
      <b/>
      <sz val="10"/>
      <color rgb="FFFFFFFF"/>
      <name val="Arial"/>
      <family val="2"/>
      <charset val="1"/>
    </font>
    <font>
      <b/>
      <sz val="11"/>
      <color rgb="FFFFFFFF"/>
      <name val="Arial"/>
      <family val="2"/>
      <charset val="1"/>
    </font>
    <font>
      <b/>
      <sz val="11"/>
      <color theme="1"/>
      <name val="Calibri"/>
      <family val="2"/>
      <charset val="1"/>
    </font>
    <font>
      <i/>
      <sz val="10"/>
      <color rgb="FF1B4332"/>
      <name val="Arial"/>
      <family val="2"/>
      <charset val="1"/>
    </font>
    <font>
      <b/>
      <sz val="16"/>
      <color rgb="FFFFFFFF"/>
      <name val="Aptos"/>
      <family val="2"/>
      <charset val="1"/>
    </font>
    <font>
      <sz val="11"/>
      <color rgb="FF17365D"/>
      <name val="Aptos"/>
      <family val="2"/>
      <charset val="1"/>
    </font>
    <font>
      <sz val="10"/>
      <color rgb="FF243447"/>
      <name val="Aptos"/>
      <family val="2"/>
      <charset val="1"/>
    </font>
    <font>
      <b/>
      <sz val="10"/>
      <color rgb="FFFFFFFF"/>
      <name val="Aptos"/>
      <family val="2"/>
      <charset val="1"/>
    </font>
    <font>
      <b/>
      <sz val="10"/>
      <color rgb="FF243447"/>
      <name val="Aptos"/>
      <family val="2"/>
      <charset val="1"/>
    </font>
    <font>
      <i/>
      <sz val="9"/>
      <color rgb="FF6B5A2B"/>
      <name val="Aptos"/>
      <family val="2"/>
      <charset val="1"/>
    </font>
    <font>
      <b/>
      <i/>
      <sz val="9"/>
      <color rgb="FF5B6573"/>
      <name val="Arial"/>
      <family val="2"/>
      <charset val="1"/>
    </font>
    <font>
      <b/>
      <i/>
      <sz val="9"/>
      <color theme="5"/>
      <name val="Arial"/>
      <family val="2"/>
      <charset val="1"/>
    </font>
    <font>
      <sz val="9.5"/>
      <color rgb="FF1F2937"/>
      <name val="Arial"/>
      <family val="2"/>
    </font>
    <font>
      <b/>
      <sz val="9.5"/>
      <color rgb="FFFF0000"/>
      <name val="Arial"/>
      <family val="2"/>
    </font>
    <font>
      <i/>
      <sz val="9.5"/>
      <color rgb="FF5B6573"/>
      <name val="Arial"/>
      <family val="2"/>
    </font>
    <font>
      <b/>
      <sz val="14"/>
      <color theme="1"/>
      <name val="Calibri"/>
      <family val="2"/>
    </font>
    <font>
      <b/>
      <i/>
      <sz val="8.5"/>
      <color rgb="FFFF0000"/>
      <name val="Arial"/>
      <family val="2"/>
    </font>
    <font>
      <b/>
      <sz val="11"/>
      <color theme="1"/>
      <name val="Georgia Pro Semibold"/>
      <family val="1"/>
    </font>
  </fonts>
  <fills count="19">
    <fill>
      <patternFill patternType="none"/>
    </fill>
    <fill>
      <patternFill patternType="gray125"/>
    </fill>
    <fill>
      <patternFill patternType="solid">
        <fgColor rgb="FF17365D"/>
        <bgColor rgb="FF243447"/>
      </patternFill>
    </fill>
    <fill>
      <patternFill patternType="solid">
        <fgColor rgb="FF2F75B5"/>
        <bgColor rgb="FF4F81BD"/>
      </patternFill>
    </fill>
    <fill>
      <patternFill patternType="solid">
        <fgColor rgb="FFD9EAF7"/>
        <bgColor rgb="FFD6E4F0"/>
      </patternFill>
    </fill>
    <fill>
      <patternFill patternType="solid">
        <fgColor rgb="FFF3F6F9"/>
        <bgColor rgb="FFEEF5FB"/>
      </patternFill>
    </fill>
    <fill>
      <patternFill patternType="solid">
        <fgColor rgb="FFFFFFFF"/>
        <bgColor rgb="FFF7FAFC"/>
      </patternFill>
    </fill>
    <fill>
      <patternFill patternType="solid">
        <fgColor rgb="FF1E7A3D"/>
        <bgColor rgb="FF008080"/>
      </patternFill>
    </fill>
    <fill>
      <patternFill patternType="solid">
        <fgColor rgb="FFE3F1E7"/>
        <bgColor rgb="FFE2F0D9"/>
      </patternFill>
    </fill>
    <fill>
      <patternFill patternType="solid">
        <fgColor rgb="FFFCEFD9"/>
        <bgColor rgb="FFFFF2CC"/>
      </patternFill>
    </fill>
    <fill>
      <patternFill patternType="solid">
        <fgColor rgb="FFFFF2CC"/>
        <bgColor rgb="FFFCEFD9"/>
      </patternFill>
    </fill>
    <fill>
      <patternFill patternType="solid">
        <fgColor rgb="FFEEF5FB"/>
        <bgColor rgb="FFF3F6F9"/>
      </patternFill>
    </fill>
    <fill>
      <patternFill patternType="solid">
        <fgColor rgb="FFE2F0D9"/>
        <bgColor rgb="FFE3F1E7"/>
      </patternFill>
    </fill>
    <fill>
      <patternFill patternType="solid">
        <fgColor rgb="FFEAF2F8"/>
        <bgColor rgb="FFEEF5FB"/>
      </patternFill>
    </fill>
    <fill>
      <patternFill patternType="solid">
        <fgColor rgb="FFF7FAFC"/>
        <bgColor rgb="FFF3F6F9"/>
      </patternFill>
    </fill>
    <fill>
      <patternFill patternType="solid">
        <fgColor rgb="FFFFF8E7"/>
        <bgColor rgb="FFF7FAFC"/>
      </patternFill>
    </fill>
    <fill>
      <patternFill patternType="solid">
        <fgColor rgb="FFFF0000"/>
        <bgColor rgb="FF6B5A2B"/>
      </patternFill>
    </fill>
    <fill>
      <patternFill patternType="solid">
        <fgColor rgb="FFFF5947"/>
        <bgColor indexed="64"/>
      </patternFill>
    </fill>
    <fill>
      <patternFill patternType="solid">
        <fgColor rgb="FFFFFF00"/>
        <bgColor indexed="64"/>
      </patternFill>
    </fill>
  </fills>
  <borders count="2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n">
        <color rgb="FF9FBAD0"/>
      </bottom>
      <diagonal/>
    </border>
    <border>
      <left/>
      <right/>
      <top style="thin">
        <color rgb="FF9FBAD0"/>
      </top>
      <bottom/>
      <diagonal/>
    </border>
    <border>
      <left/>
      <right/>
      <top style="thin">
        <color rgb="FF9FBAD0"/>
      </top>
      <bottom style="thin">
        <color rgb="FF70AD47"/>
      </bottom>
      <diagonal/>
    </border>
    <border>
      <left style="thick">
        <color rgb="FF2F75B5"/>
      </left>
      <right/>
      <top/>
      <bottom style="thin">
        <color rgb="FFD6E4F0"/>
      </bottom>
      <diagonal/>
    </border>
    <border>
      <left style="thin">
        <color auto="1"/>
      </left>
      <right style="thin">
        <color auto="1"/>
      </right>
      <top style="thin">
        <color auto="1"/>
      </top>
      <bottom/>
      <diagonal/>
    </border>
    <border>
      <left style="thin">
        <color auto="1"/>
      </left>
      <right style="thin">
        <color auto="1"/>
      </right>
      <top style="thin">
        <color auto="1"/>
      </top>
      <bottom style="thin">
        <color rgb="FFD9E2F3"/>
      </bottom>
      <diagonal/>
    </border>
    <border>
      <left style="thin">
        <color auto="1"/>
      </left>
      <right style="thin">
        <color auto="1"/>
      </right>
      <top style="thin">
        <color rgb="FFD9E2F3"/>
      </top>
      <bottom style="thin">
        <color rgb="FFD9E2F3"/>
      </bottom>
      <diagonal/>
    </border>
    <border>
      <left style="thin">
        <color auto="1"/>
      </left>
      <right style="thin">
        <color auto="1"/>
      </right>
      <top style="thin">
        <color rgb="FFD9E2F3"/>
      </top>
      <bottom style="thin">
        <color auto="1"/>
      </bottom>
      <diagonal/>
    </border>
    <border>
      <left/>
      <right/>
      <top/>
      <bottom style="thin">
        <color rgb="FFD9E2F3"/>
      </bottom>
      <diagonal/>
    </border>
    <border>
      <left style="thick">
        <color rgb="FF2F75B5"/>
      </left>
      <right/>
      <top/>
      <bottom/>
      <diagonal/>
    </border>
    <border>
      <left style="thick">
        <color rgb="FF2F75B5"/>
      </left>
      <right/>
      <top style="thin">
        <color rgb="FFD6E4F0"/>
      </top>
      <bottom/>
      <diagonal/>
    </border>
    <border>
      <left style="thick">
        <color rgb="FF2F75B5"/>
      </left>
      <right/>
      <top style="thin">
        <color rgb="FFD6E4F0"/>
      </top>
      <bottom style="thin">
        <color rgb="FFD6E4F0"/>
      </bottom>
      <diagonal/>
    </border>
    <border>
      <left/>
      <right/>
      <top style="thin">
        <color auto="1"/>
      </top>
      <bottom/>
      <diagonal/>
    </border>
    <border>
      <left style="thin">
        <color auto="1"/>
      </left>
      <right style="thin">
        <color auto="1"/>
      </right>
      <top style="thin">
        <color rgb="FF2F75B5"/>
      </top>
      <bottom style="thin">
        <color rgb="FF2F75B5"/>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2F75B5"/>
      </bottom>
      <diagonal/>
    </border>
    <border>
      <left style="thin">
        <color auto="1"/>
      </left>
      <right style="thin">
        <color auto="1"/>
      </right>
      <top/>
      <bottom/>
      <diagonal/>
    </border>
    <border>
      <left style="thin">
        <color auto="1"/>
      </left>
      <right style="thin">
        <color auto="1"/>
      </right>
      <top style="thin">
        <color auto="1"/>
      </top>
      <bottom style="medium">
        <color rgb="FF17365D"/>
      </bottom>
      <diagonal/>
    </border>
    <border>
      <left style="thin">
        <color auto="1"/>
      </left>
      <right style="thin">
        <color auto="1"/>
      </right>
      <top style="thin">
        <color auto="1"/>
      </top>
      <bottom style="thin">
        <color rgb="FF9FBAD0"/>
      </bottom>
      <diagonal/>
    </border>
    <border>
      <left style="thin">
        <color auto="1"/>
      </left>
      <right style="thin">
        <color auto="1"/>
      </right>
      <top style="thin">
        <color auto="1"/>
      </top>
      <bottom style="medium">
        <color rgb="FF2F75B5"/>
      </bottom>
      <diagonal/>
    </border>
    <border>
      <left style="thin">
        <color auto="1"/>
      </left>
      <right style="thin">
        <color auto="1"/>
      </right>
      <top/>
      <bottom style="thin">
        <color rgb="FF9FBAD0"/>
      </bottom>
      <diagonal/>
    </border>
    <border>
      <left style="thin">
        <color auto="1"/>
      </left>
      <right style="thin">
        <color auto="1"/>
      </right>
      <top/>
      <bottom style="medium">
        <color rgb="FF2F75B5"/>
      </bottom>
      <diagonal/>
    </border>
    <border>
      <left style="thin">
        <color auto="1"/>
      </left>
      <right style="thin">
        <color auto="1"/>
      </right>
      <top style="thin">
        <color rgb="FF9FBAD0"/>
      </top>
      <bottom style="medium">
        <color rgb="FF17365D"/>
      </bottom>
      <diagonal/>
    </border>
    <border>
      <left/>
      <right/>
      <top/>
      <bottom style="thin">
        <color auto="1"/>
      </bottom>
      <diagonal/>
    </border>
  </borders>
  <cellStyleXfs count="1">
    <xf numFmtId="0" fontId="0" fillId="0" borderId="0"/>
  </cellStyleXfs>
  <cellXfs count="205">
    <xf numFmtId="0" fontId="0" fillId="0" borderId="0" xfId="0"/>
    <xf numFmtId="0" fontId="8" fillId="6" borderId="0" xfId="0" applyFont="1" applyFill="1" applyAlignment="1">
      <alignment horizontal="left" vertical="center" wrapText="1"/>
    </xf>
    <xf numFmtId="0" fontId="7" fillId="6" borderId="0" xfId="0" applyFont="1" applyFill="1" applyAlignment="1">
      <alignment horizontal="left" vertical="center" wrapText="1"/>
    </xf>
    <xf numFmtId="0" fontId="8" fillId="5" borderId="0" xfId="0" applyFont="1" applyFill="1" applyAlignment="1">
      <alignment horizontal="left" vertical="center" wrapText="1"/>
    </xf>
    <xf numFmtId="0" fontId="7" fillId="5" borderId="0" xfId="0" applyFont="1" applyFill="1" applyAlignment="1">
      <alignment horizontal="left" vertical="center" wrapText="1"/>
    </xf>
    <xf numFmtId="0" fontId="4" fillId="3" borderId="0" xfId="0" applyFont="1" applyFill="1" applyAlignment="1">
      <alignment horizontal="center" vertical="center" wrapText="1"/>
    </xf>
    <xf numFmtId="0" fontId="6" fillId="5" borderId="0" xfId="0" applyFont="1" applyFill="1" applyAlignment="1">
      <alignment horizontal="left" vertical="center" wrapText="1"/>
    </xf>
    <xf numFmtId="0" fontId="5" fillId="5" borderId="0" xfId="0" applyFont="1" applyFill="1" applyAlignment="1">
      <alignment horizontal="left" vertical="center" wrapText="1"/>
    </xf>
    <xf numFmtId="0" fontId="6" fillId="4" borderId="0" xfId="0" applyFont="1" applyFill="1" applyAlignment="1">
      <alignment horizontal="left" vertical="center" wrapText="1"/>
    </xf>
    <xf numFmtId="0" fontId="5" fillId="4" borderId="0" xfId="0" applyFont="1" applyFill="1" applyAlignment="1">
      <alignment horizontal="left" vertical="center" wrapText="1"/>
    </xf>
    <xf numFmtId="0" fontId="4" fillId="2" borderId="0" xfId="0" applyFont="1" applyFill="1" applyAlignment="1">
      <alignment horizontal="center" vertical="center" wrapText="1"/>
    </xf>
    <xf numFmtId="0" fontId="0" fillId="3" borderId="0" xfId="0" applyFill="1"/>
    <xf numFmtId="0" fontId="3" fillId="0" borderId="0" xfId="0" applyFont="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xf>
    <xf numFmtId="0" fontId="8" fillId="5" borderId="0" xfId="0" applyFont="1" applyFill="1" applyAlignment="1">
      <alignment horizontal="left" vertical="center" wrapText="1"/>
    </xf>
    <xf numFmtId="0" fontId="15" fillId="3" borderId="0" xfId="0" applyFont="1" applyFill="1" applyAlignment="1">
      <alignment horizontal="left" vertical="center" wrapText="1"/>
    </xf>
    <xf numFmtId="0" fontId="15" fillId="3" borderId="0" xfId="0" applyFont="1" applyFill="1" applyAlignment="1">
      <alignment horizontal="center" vertical="center" wrapText="1"/>
    </xf>
    <xf numFmtId="164" fontId="8" fillId="5" borderId="0" xfId="0" applyNumberFormat="1" applyFont="1" applyFill="1" applyAlignment="1">
      <alignment horizontal="center" vertical="center" wrapText="1"/>
    </xf>
    <xf numFmtId="165" fontId="8" fillId="5" borderId="0" xfId="0" applyNumberFormat="1" applyFont="1" applyFill="1" applyAlignment="1">
      <alignment horizontal="center" vertical="center" wrapText="1"/>
    </xf>
    <xf numFmtId="0" fontId="15" fillId="2" borderId="0" xfId="0" applyFont="1" applyFill="1" applyAlignment="1">
      <alignment horizontal="left" vertical="center" wrapText="1"/>
    </xf>
    <xf numFmtId="164" fontId="15" fillId="2" borderId="0" xfId="0" applyNumberFormat="1" applyFont="1" applyFill="1" applyAlignment="1">
      <alignment horizontal="center" vertical="center" wrapText="1"/>
    </xf>
    <xf numFmtId="0" fontId="18" fillId="0" borderId="0" xfId="0" applyFont="1" applyAlignment="1">
      <alignment horizontal="left" vertical="center"/>
    </xf>
    <xf numFmtId="0" fontId="19" fillId="0" borderId="0" xfId="0" applyFont="1" applyAlignment="1">
      <alignment horizontal="left" vertical="center" wrapText="1"/>
    </xf>
    <xf numFmtId="166" fontId="20" fillId="0" borderId="0" xfId="0" applyNumberFormat="1" applyFont="1" applyAlignment="1">
      <alignment horizontal="right" vertical="center"/>
    </xf>
    <xf numFmtId="0" fontId="20" fillId="0" borderId="0" xfId="0" applyFont="1" applyAlignment="1">
      <alignment horizontal="right" vertical="center"/>
    </xf>
    <xf numFmtId="0" fontId="19" fillId="0" borderId="0" xfId="0" applyFont="1" applyAlignment="1">
      <alignment horizontal="left" vertical="center"/>
    </xf>
    <xf numFmtId="0" fontId="21" fillId="3" borderId="0" xfId="0" applyFont="1" applyFill="1" applyAlignment="1">
      <alignment horizontal="left" vertical="center"/>
    </xf>
    <xf numFmtId="166" fontId="21" fillId="3" borderId="1" xfId="0" applyNumberFormat="1" applyFont="1" applyFill="1" applyBorder="1" applyAlignment="1">
      <alignment horizontal="center" vertical="center" wrapText="1"/>
    </xf>
    <xf numFmtId="166" fontId="21" fillId="3" borderId="2" xfId="0" applyNumberFormat="1" applyFont="1" applyFill="1" applyBorder="1" applyAlignment="1">
      <alignment horizontal="center" vertical="center" wrapText="1"/>
    </xf>
    <xf numFmtId="3" fontId="20" fillId="0" borderId="0" xfId="0" applyNumberFormat="1" applyFont="1" applyAlignment="1">
      <alignment horizontal="right" vertical="center"/>
    </xf>
    <xf numFmtId="0" fontId="19" fillId="10" borderId="0" xfId="0" applyFont="1" applyFill="1" applyAlignment="1">
      <alignment horizontal="left" vertical="center"/>
    </xf>
    <xf numFmtId="0" fontId="20" fillId="0" borderId="0" xfId="0" applyFont="1" applyAlignment="1">
      <alignment horizontal="left" vertical="center"/>
    </xf>
    <xf numFmtId="0" fontId="22" fillId="0" borderId="0" xfId="0" applyFont="1" applyAlignment="1">
      <alignment horizontal="left" vertical="center"/>
    </xf>
    <xf numFmtId="0" fontId="19" fillId="11" borderId="0" xfId="0" applyFont="1" applyFill="1" applyAlignment="1">
      <alignment horizontal="left" vertical="center"/>
    </xf>
    <xf numFmtId="0" fontId="20" fillId="11" borderId="0" xfId="0" applyFont="1" applyFill="1" applyAlignment="1">
      <alignment horizontal="left" vertical="top" wrapText="1"/>
    </xf>
    <xf numFmtId="0" fontId="20" fillId="0" borderId="0" xfId="0" applyFont="1" applyAlignment="1">
      <alignment horizontal="left" vertical="top" wrapText="1"/>
    </xf>
    <xf numFmtId="0" fontId="19" fillId="5" borderId="0" xfId="0" applyFont="1" applyFill="1" applyAlignment="1">
      <alignment horizontal="left" vertical="center"/>
    </xf>
    <xf numFmtId="0" fontId="20" fillId="5" borderId="0" xfId="0" applyFont="1" applyFill="1" applyAlignment="1">
      <alignment horizontal="left" vertical="top" wrapText="1"/>
    </xf>
    <xf numFmtId="0" fontId="20" fillId="10" borderId="0" xfId="0" applyFont="1" applyFill="1" applyAlignment="1">
      <alignment horizontal="left" vertical="top" wrapText="1"/>
    </xf>
    <xf numFmtId="0" fontId="21" fillId="3" borderId="1" xfId="0" applyFont="1" applyFill="1" applyBorder="1" applyAlignment="1">
      <alignment horizontal="left" vertical="center"/>
    </xf>
    <xf numFmtId="0" fontId="23" fillId="0" borderId="0" xfId="0" applyFont="1"/>
    <xf numFmtId="9" fontId="20" fillId="0" borderId="0" xfId="0" applyNumberFormat="1" applyFont="1" applyAlignment="1">
      <alignment horizontal="right" vertical="center"/>
    </xf>
    <xf numFmtId="0" fontId="0" fillId="0" borderId="0" xfId="0" applyAlignment="1">
      <alignment wrapText="1"/>
    </xf>
    <xf numFmtId="49" fontId="21" fillId="3" borderId="1" xfId="0" applyNumberFormat="1" applyFont="1" applyFill="1" applyBorder="1" applyAlignment="1">
      <alignment horizontal="right" vertical="center" wrapText="1"/>
    </xf>
    <xf numFmtId="166" fontId="21" fillId="3" borderId="1" xfId="0" applyNumberFormat="1" applyFont="1" applyFill="1" applyBorder="1" applyAlignment="1">
      <alignment horizontal="right" vertical="center" wrapText="1"/>
    </xf>
    <xf numFmtId="167" fontId="20" fillId="0" borderId="0" xfId="0" applyNumberFormat="1" applyFont="1" applyAlignment="1">
      <alignment horizontal="right" vertical="center"/>
    </xf>
    <xf numFmtId="0" fontId="20" fillId="0" borderId="0" xfId="0" applyFont="1" applyAlignment="1">
      <alignment horizontal="left" vertical="center" wrapText="1"/>
    </xf>
    <xf numFmtId="167" fontId="20" fillId="0" borderId="0" xfId="0" applyNumberFormat="1" applyFont="1" applyAlignment="1">
      <alignment horizontal="right" vertical="center" wrapText="1"/>
    </xf>
    <xf numFmtId="0" fontId="20" fillId="0" borderId="0" xfId="0" applyFont="1" applyAlignment="1">
      <alignment horizontal="right" vertical="center" wrapText="1"/>
    </xf>
    <xf numFmtId="1" fontId="20" fillId="0" borderId="0" xfId="0" applyNumberFormat="1" applyFont="1" applyAlignment="1">
      <alignment horizontal="right" vertical="center"/>
    </xf>
    <xf numFmtId="168" fontId="20" fillId="0" borderId="0" xfId="0" applyNumberFormat="1" applyFont="1" applyAlignment="1">
      <alignment horizontal="right" vertical="center"/>
    </xf>
    <xf numFmtId="0" fontId="21" fillId="3" borderId="0" xfId="0" applyFont="1" applyFill="1" applyAlignment="1">
      <alignment horizontal="left" vertical="center" wrapText="1"/>
    </xf>
    <xf numFmtId="0" fontId="20" fillId="11" borderId="0" xfId="0" applyFont="1" applyFill="1" applyAlignment="1">
      <alignment horizontal="left" vertical="center" wrapText="1"/>
    </xf>
    <xf numFmtId="3" fontId="20" fillId="11" borderId="0" xfId="0" applyNumberFormat="1" applyFont="1" applyFill="1" applyAlignment="1">
      <alignment horizontal="right" vertical="center" wrapText="1"/>
    </xf>
    <xf numFmtId="169" fontId="20" fillId="11" borderId="0" xfId="0" applyNumberFormat="1" applyFont="1" applyFill="1" applyAlignment="1">
      <alignment horizontal="right" vertical="center" wrapText="1"/>
    </xf>
    <xf numFmtId="10" fontId="20" fillId="11" borderId="0" xfId="0" applyNumberFormat="1" applyFont="1" applyFill="1" applyAlignment="1">
      <alignment horizontal="right" vertical="center" wrapText="1"/>
    </xf>
    <xf numFmtId="0" fontId="19" fillId="11" borderId="3" xfId="0" applyFont="1" applyFill="1" applyBorder="1" applyAlignment="1">
      <alignment horizontal="left" vertical="center" wrapText="1"/>
    </xf>
    <xf numFmtId="2" fontId="19" fillId="11" borderId="3" xfId="0" applyNumberFormat="1" applyFont="1" applyFill="1" applyBorder="1" applyAlignment="1">
      <alignment horizontal="right" vertical="center"/>
    </xf>
    <xf numFmtId="0" fontId="19" fillId="11" borderId="0" xfId="0" applyFont="1" applyFill="1" applyAlignment="1">
      <alignment horizontal="left" vertical="center" wrapText="1"/>
    </xf>
    <xf numFmtId="2" fontId="20" fillId="11" borderId="0" xfId="0" applyNumberFormat="1" applyFont="1" applyFill="1" applyAlignment="1">
      <alignment horizontal="right" vertical="center"/>
    </xf>
    <xf numFmtId="2" fontId="20" fillId="11" borderId="0" xfId="0" applyNumberFormat="1" applyFont="1" applyFill="1" applyAlignment="1">
      <alignment horizontal="right" vertical="center" wrapText="1"/>
    </xf>
    <xf numFmtId="10" fontId="19" fillId="0" borderId="0" xfId="0" applyNumberFormat="1" applyFont="1" applyAlignment="1">
      <alignment horizontal="right" vertical="center" wrapText="1"/>
    </xf>
    <xf numFmtId="165" fontId="20" fillId="0" borderId="0" xfId="0" applyNumberFormat="1" applyFont="1" applyAlignment="1">
      <alignment horizontal="right" vertical="center"/>
    </xf>
    <xf numFmtId="165" fontId="20" fillId="0" borderId="0" xfId="0" applyNumberFormat="1" applyFont="1" applyAlignment="1">
      <alignment horizontal="right" vertical="center" wrapText="1"/>
    </xf>
    <xf numFmtId="0" fontId="19" fillId="0" borderId="3" xfId="0" applyFont="1" applyBorder="1" applyAlignment="1">
      <alignment horizontal="left" vertical="center" wrapText="1"/>
    </xf>
    <xf numFmtId="165" fontId="19" fillId="0" borderId="3" xfId="0" applyNumberFormat="1" applyFont="1" applyBorder="1" applyAlignment="1">
      <alignment horizontal="right" vertical="center"/>
    </xf>
    <xf numFmtId="165" fontId="19" fillId="0" borderId="3" xfId="0" applyNumberFormat="1" applyFont="1" applyBorder="1" applyAlignment="1">
      <alignment horizontal="right" vertical="center" wrapText="1"/>
    </xf>
    <xf numFmtId="0" fontId="19" fillId="0" borderId="3" xfId="0" applyFont="1" applyBorder="1" applyAlignment="1">
      <alignment horizontal="right" vertical="center"/>
    </xf>
    <xf numFmtId="1" fontId="19" fillId="0" borderId="3" xfId="0" applyNumberFormat="1" applyFont="1" applyBorder="1" applyAlignment="1">
      <alignment horizontal="right" vertical="center"/>
    </xf>
    <xf numFmtId="3" fontId="19" fillId="11" borderId="3" xfId="0" applyNumberFormat="1" applyFont="1" applyFill="1" applyBorder="1" applyAlignment="1">
      <alignment horizontal="right" vertical="center"/>
    </xf>
    <xf numFmtId="0" fontId="20" fillId="11" borderId="0" xfId="0" applyFont="1" applyFill="1" applyAlignment="1">
      <alignment horizontal="right" vertical="center"/>
    </xf>
    <xf numFmtId="165" fontId="20" fillId="11" borderId="0" xfId="0" applyNumberFormat="1" applyFont="1" applyFill="1" applyAlignment="1">
      <alignment horizontal="right" vertical="center"/>
    </xf>
    <xf numFmtId="3" fontId="19" fillId="11" borderId="0" xfId="0" applyNumberFormat="1" applyFont="1" applyFill="1" applyAlignment="1">
      <alignment horizontal="right" vertical="center"/>
    </xf>
    <xf numFmtId="0" fontId="19" fillId="11" borderId="4" xfId="0" applyFont="1" applyFill="1" applyBorder="1" applyAlignment="1">
      <alignment horizontal="left" vertical="center" wrapText="1"/>
    </xf>
    <xf numFmtId="10" fontId="19" fillId="11" borderId="4" xfId="0" applyNumberFormat="1" applyFont="1" applyFill="1" applyBorder="1" applyAlignment="1">
      <alignment horizontal="right" vertical="center"/>
    </xf>
    <xf numFmtId="0" fontId="24" fillId="12" borderId="5" xfId="0" applyFont="1" applyFill="1" applyBorder="1" applyAlignment="1">
      <alignment horizontal="left" vertical="center" wrapText="1"/>
    </xf>
    <xf numFmtId="0" fontId="27" fillId="0" borderId="0" xfId="0" applyFont="1" applyAlignment="1">
      <alignment horizontal="left" vertical="center"/>
    </xf>
    <xf numFmtId="0" fontId="28" fillId="3" borderId="7" xfId="0" applyFont="1" applyFill="1" applyBorder="1" applyAlignment="1">
      <alignment horizontal="center" vertical="center" wrapText="1"/>
    </xf>
    <xf numFmtId="1" fontId="27" fillId="14" borderId="8" xfId="0" applyNumberFormat="1" applyFont="1" applyFill="1" applyBorder="1" applyAlignment="1">
      <alignment horizontal="center" vertical="center" wrapText="1"/>
    </xf>
    <xf numFmtId="2" fontId="27" fillId="14" borderId="8" xfId="0" applyNumberFormat="1" applyFont="1" applyFill="1" applyBorder="1" applyAlignment="1">
      <alignment horizontal="right" vertical="center" wrapText="1"/>
    </xf>
    <xf numFmtId="0" fontId="29" fillId="0" borderId="0" xfId="0" applyFont="1" applyAlignment="1">
      <alignment horizontal="center" vertical="center" wrapText="1"/>
    </xf>
    <xf numFmtId="0" fontId="27" fillId="0" borderId="0" xfId="0" applyFont="1" applyAlignment="1">
      <alignment vertical="center"/>
    </xf>
    <xf numFmtId="1" fontId="27" fillId="14" borderId="9" xfId="0" applyNumberFormat="1" applyFont="1" applyFill="1" applyBorder="1" applyAlignment="1">
      <alignment horizontal="center" vertical="center" wrapText="1"/>
    </xf>
    <xf numFmtId="2" fontId="27" fillId="14" borderId="9" xfId="0" applyNumberFormat="1" applyFont="1" applyFill="1" applyBorder="1" applyAlignment="1">
      <alignment horizontal="right" vertical="center" wrapText="1"/>
    </xf>
    <xf numFmtId="0" fontId="29" fillId="0" borderId="0" xfId="0" applyFont="1" applyAlignment="1">
      <alignment vertical="center" wrapText="1"/>
    </xf>
    <xf numFmtId="1" fontId="27" fillId="14" borderId="10" xfId="0" applyNumberFormat="1" applyFont="1" applyFill="1" applyBorder="1" applyAlignment="1">
      <alignment horizontal="center" vertical="center" wrapText="1"/>
    </xf>
    <xf numFmtId="2" fontId="27" fillId="14" borderId="10" xfId="0" applyNumberFormat="1" applyFont="1" applyFill="1" applyBorder="1" applyAlignment="1">
      <alignment horizontal="right" vertical="center" wrapText="1"/>
    </xf>
    <xf numFmtId="0" fontId="28" fillId="3" borderId="0" xfId="0" applyFont="1" applyFill="1" applyAlignment="1">
      <alignment horizontal="center" vertical="center"/>
    </xf>
    <xf numFmtId="49" fontId="28" fillId="3" borderId="0" xfId="0" applyNumberFormat="1" applyFont="1" applyFill="1" applyAlignment="1">
      <alignment horizontal="center" vertical="center"/>
    </xf>
    <xf numFmtId="0" fontId="29" fillId="14" borderId="11" xfId="0" applyFont="1" applyFill="1" applyBorder="1" applyAlignment="1">
      <alignment horizontal="left" vertical="center" wrapText="1"/>
    </xf>
    <xf numFmtId="2" fontId="27" fillId="14" borderId="11" xfId="0" applyNumberFormat="1" applyFont="1" applyFill="1" applyBorder="1" applyAlignment="1">
      <alignment horizontal="right" vertical="center"/>
    </xf>
    <xf numFmtId="169" fontId="0" fillId="0" borderId="0" xfId="0" applyNumberFormat="1"/>
    <xf numFmtId="0" fontId="21" fillId="3" borderId="7" xfId="0" applyFont="1" applyFill="1" applyBorder="1" applyAlignment="1">
      <alignment horizontal="center" vertical="center"/>
    </xf>
    <xf numFmtId="166" fontId="21" fillId="3" borderId="7" xfId="0" applyNumberFormat="1" applyFont="1" applyFill="1" applyBorder="1" applyAlignment="1">
      <alignment horizontal="center" vertical="center" wrapText="1"/>
    </xf>
    <xf numFmtId="0" fontId="19" fillId="4" borderId="7" xfId="0" applyFont="1" applyFill="1" applyBorder="1" applyAlignment="1">
      <alignment horizontal="left" vertical="center" indent="2"/>
    </xf>
    <xf numFmtId="3" fontId="19" fillId="4" borderId="7" xfId="0" applyNumberFormat="1" applyFont="1" applyFill="1" applyBorder="1" applyAlignment="1">
      <alignment horizontal="right" vertical="center" wrapText="1"/>
    </xf>
    <xf numFmtId="0" fontId="19" fillId="4" borderId="16" xfId="0" applyFont="1" applyFill="1" applyBorder="1" applyAlignment="1">
      <alignment horizontal="left" vertical="center" indent="2"/>
    </xf>
    <xf numFmtId="3" fontId="19" fillId="4" borderId="16" xfId="0" applyNumberFormat="1" applyFont="1" applyFill="1" applyBorder="1" applyAlignment="1">
      <alignment horizontal="right" vertical="center" wrapText="1"/>
    </xf>
    <xf numFmtId="0" fontId="20" fillId="0" borderId="17" xfId="0" applyFont="1" applyBorder="1" applyAlignment="1">
      <alignment horizontal="left" vertical="center"/>
    </xf>
    <xf numFmtId="9" fontId="20" fillId="0" borderId="17" xfId="0" applyNumberFormat="1" applyFont="1" applyBorder="1" applyAlignment="1">
      <alignment horizontal="right" vertical="center" wrapText="1"/>
    </xf>
    <xf numFmtId="0" fontId="20" fillId="0" borderId="1" xfId="0" applyFont="1" applyBorder="1" applyAlignment="1">
      <alignment horizontal="left" vertical="center"/>
    </xf>
    <xf numFmtId="3" fontId="20" fillId="0" borderId="1" xfId="0" applyNumberFormat="1" applyFont="1" applyBorder="1" applyAlignment="1">
      <alignment horizontal="right" vertical="center" wrapText="1"/>
    </xf>
    <xf numFmtId="0" fontId="20" fillId="0" borderId="7" xfId="0" applyFont="1" applyBorder="1" applyAlignment="1">
      <alignment horizontal="left" vertical="center"/>
    </xf>
    <xf numFmtId="0" fontId="20" fillId="0" borderId="7" xfId="0" applyFont="1" applyBorder="1" applyAlignment="1">
      <alignment horizontal="right" vertical="center" wrapText="1"/>
    </xf>
    <xf numFmtId="3" fontId="20" fillId="0" borderId="7" xfId="0" applyNumberFormat="1" applyFont="1" applyBorder="1" applyAlignment="1">
      <alignment horizontal="right" vertical="center" wrapText="1"/>
    </xf>
    <xf numFmtId="0" fontId="19" fillId="4" borderId="18" xfId="0" applyFont="1" applyFill="1" applyBorder="1" applyAlignment="1">
      <alignment horizontal="left" vertical="center"/>
    </xf>
    <xf numFmtId="0" fontId="19" fillId="4" borderId="18" xfId="0" applyFont="1" applyFill="1" applyBorder="1" applyAlignment="1">
      <alignment horizontal="right" vertical="center"/>
    </xf>
    <xf numFmtId="9" fontId="20" fillId="0" borderId="1" xfId="0" applyNumberFormat="1" applyFont="1" applyBorder="1" applyAlignment="1">
      <alignment horizontal="right" vertical="center" wrapText="1"/>
    </xf>
    <xf numFmtId="9" fontId="20" fillId="0" borderId="7" xfId="0" applyNumberFormat="1" applyFont="1" applyBorder="1" applyAlignment="1">
      <alignment horizontal="right" vertical="center" wrapText="1"/>
    </xf>
    <xf numFmtId="0" fontId="19" fillId="4" borderId="18" xfId="0" applyFont="1" applyFill="1" applyBorder="1" applyAlignment="1">
      <alignment horizontal="left" vertical="center" indent="2"/>
    </xf>
    <xf numFmtId="3" fontId="19" fillId="4" borderId="18" xfId="0" applyNumberFormat="1" applyFont="1" applyFill="1" applyBorder="1" applyAlignment="1">
      <alignment horizontal="right" vertical="center" wrapText="1"/>
    </xf>
    <xf numFmtId="0" fontId="20" fillId="0" borderId="17" xfId="0" applyFont="1" applyBorder="1" applyAlignment="1">
      <alignment horizontal="left" vertical="center" indent="2"/>
    </xf>
    <xf numFmtId="0" fontId="20" fillId="0" borderId="17" xfId="0" applyFont="1" applyBorder="1" applyAlignment="1">
      <alignment horizontal="right" vertical="center" wrapText="1"/>
    </xf>
    <xf numFmtId="0" fontId="20" fillId="0" borderId="1" xfId="0" applyFont="1" applyBorder="1" applyAlignment="1">
      <alignment horizontal="right" vertical="center" wrapText="1"/>
    </xf>
    <xf numFmtId="0" fontId="20" fillId="0" borderId="1" xfId="0" applyFont="1" applyBorder="1" applyAlignment="1">
      <alignment horizontal="left" vertical="center" indent="2"/>
    </xf>
    <xf numFmtId="0" fontId="20" fillId="0" borderId="7" xfId="0" applyFont="1" applyBorder="1" applyAlignment="1">
      <alignment horizontal="left" vertical="center" indent="2"/>
    </xf>
    <xf numFmtId="0" fontId="20" fillId="0" borderId="19" xfId="0" applyFont="1" applyBorder="1" applyAlignment="1">
      <alignment horizontal="left" vertical="center" indent="2"/>
    </xf>
    <xf numFmtId="9" fontId="20" fillId="0" borderId="19" xfId="0" applyNumberFormat="1" applyFont="1" applyBorder="1" applyAlignment="1">
      <alignment horizontal="right" vertical="center" wrapText="1"/>
    </xf>
    <xf numFmtId="0" fontId="20" fillId="5" borderId="1" xfId="0" applyFont="1" applyFill="1" applyBorder="1" applyAlignment="1">
      <alignment horizontal="left" vertical="center"/>
    </xf>
    <xf numFmtId="3" fontId="20" fillId="5" borderId="1" xfId="0" applyNumberFormat="1" applyFont="1" applyFill="1" applyBorder="1" applyAlignment="1">
      <alignment horizontal="right" vertical="center" wrapText="1"/>
    </xf>
    <xf numFmtId="0" fontId="20" fillId="5" borderId="7" xfId="0" applyFont="1" applyFill="1" applyBorder="1" applyAlignment="1">
      <alignment horizontal="left" vertical="center"/>
    </xf>
    <xf numFmtId="3" fontId="20" fillId="5" borderId="7" xfId="0" applyNumberFormat="1" applyFont="1" applyFill="1" applyBorder="1" applyAlignment="1">
      <alignment horizontal="right" vertical="center" wrapText="1"/>
    </xf>
    <xf numFmtId="0" fontId="19" fillId="5" borderId="20" xfId="0" applyFont="1" applyFill="1" applyBorder="1" applyAlignment="1">
      <alignment horizontal="left" vertical="center"/>
    </xf>
    <xf numFmtId="3" fontId="19" fillId="5" borderId="20" xfId="0" applyNumberFormat="1" applyFont="1" applyFill="1" applyBorder="1" applyAlignment="1">
      <alignment horizontal="right" vertical="center" wrapText="1"/>
    </xf>
    <xf numFmtId="0" fontId="21" fillId="3" borderId="1" xfId="0" applyFont="1" applyFill="1" applyBorder="1" applyAlignment="1">
      <alignment horizontal="center" vertical="center" wrapText="1"/>
    </xf>
    <xf numFmtId="0" fontId="20" fillId="0" borderId="1" xfId="0" applyFont="1" applyBorder="1" applyAlignment="1">
      <alignment horizontal="left" vertical="center" wrapText="1"/>
    </xf>
    <xf numFmtId="170" fontId="20" fillId="0" borderId="1" xfId="0" applyNumberFormat="1" applyFont="1" applyBorder="1" applyAlignment="1">
      <alignment horizontal="right" vertical="center" wrapText="1"/>
    </xf>
    <xf numFmtId="0" fontId="20" fillId="0" borderId="7" xfId="0" applyFont="1" applyBorder="1" applyAlignment="1">
      <alignment horizontal="left" vertical="center" wrapText="1"/>
    </xf>
    <xf numFmtId="170" fontId="20" fillId="0" borderId="7" xfId="0" applyNumberFormat="1" applyFont="1" applyBorder="1" applyAlignment="1">
      <alignment horizontal="right" vertical="center" wrapText="1"/>
    </xf>
    <xf numFmtId="0" fontId="19" fillId="11" borderId="21" xfId="0" applyFont="1" applyFill="1" applyBorder="1" applyAlignment="1">
      <alignment horizontal="left" vertical="center" wrapText="1"/>
    </xf>
    <xf numFmtId="170" fontId="19" fillId="11" borderId="21" xfId="0" applyNumberFormat="1" applyFont="1" applyFill="1" applyBorder="1" applyAlignment="1">
      <alignment horizontal="right" vertical="center" wrapText="1"/>
    </xf>
    <xf numFmtId="0" fontId="20" fillId="0" borderId="17" xfId="0" applyFont="1" applyBorder="1" applyAlignment="1">
      <alignment horizontal="left" vertical="center" wrapText="1"/>
    </xf>
    <xf numFmtId="170" fontId="20" fillId="0" borderId="17" xfId="0" applyNumberFormat="1" applyFont="1" applyBorder="1" applyAlignment="1">
      <alignment horizontal="right" vertical="center" wrapText="1"/>
    </xf>
    <xf numFmtId="4" fontId="0" fillId="0" borderId="0" xfId="0" applyNumberFormat="1"/>
    <xf numFmtId="3" fontId="0" fillId="0" borderId="0" xfId="0" applyNumberFormat="1"/>
    <xf numFmtId="0" fontId="23" fillId="0" borderId="0" xfId="0" applyFont="1" applyAlignment="1">
      <alignment vertical="center" wrapText="1"/>
    </xf>
    <xf numFmtId="3" fontId="0" fillId="0" borderId="0" xfId="0" applyNumberFormat="1" applyAlignment="1">
      <alignment vertical="center" wrapText="1"/>
    </xf>
    <xf numFmtId="4" fontId="0" fillId="0" borderId="0" xfId="0" applyNumberFormat="1" applyAlignment="1">
      <alignment vertical="center" wrapText="1"/>
    </xf>
    <xf numFmtId="0" fontId="19" fillId="4" borderId="1" xfId="0" applyFont="1" applyFill="1" applyBorder="1" applyAlignment="1">
      <alignment horizontal="left" vertical="center" wrapText="1"/>
    </xf>
    <xf numFmtId="170" fontId="19" fillId="4" borderId="1" xfId="0" applyNumberFormat="1" applyFont="1" applyFill="1" applyBorder="1" applyAlignment="1">
      <alignment horizontal="right" vertical="center" wrapText="1"/>
    </xf>
    <xf numFmtId="0" fontId="19" fillId="4" borderId="22" xfId="0" applyFont="1" applyFill="1" applyBorder="1" applyAlignment="1">
      <alignment horizontal="left" vertical="center" wrapText="1"/>
    </xf>
    <xf numFmtId="170" fontId="19" fillId="4" borderId="22" xfId="0" applyNumberFormat="1" applyFont="1" applyFill="1" applyBorder="1" applyAlignment="1">
      <alignment horizontal="right" vertical="center" wrapText="1"/>
    </xf>
    <xf numFmtId="0" fontId="19" fillId="11" borderId="23" xfId="0" applyFont="1" applyFill="1" applyBorder="1" applyAlignment="1">
      <alignment horizontal="left" vertical="center" wrapText="1"/>
    </xf>
    <xf numFmtId="170" fontId="19" fillId="11" borderId="23" xfId="0" applyNumberFormat="1" applyFont="1" applyFill="1" applyBorder="1" applyAlignment="1">
      <alignment horizontal="right" vertical="center" wrapText="1"/>
    </xf>
    <xf numFmtId="0" fontId="21" fillId="2" borderId="22" xfId="0" applyFont="1" applyFill="1" applyBorder="1" applyAlignment="1">
      <alignment horizontal="left" vertical="center" wrapText="1"/>
    </xf>
    <xf numFmtId="170" fontId="21" fillId="2" borderId="22" xfId="0" applyNumberFormat="1" applyFont="1" applyFill="1" applyBorder="1" applyAlignment="1">
      <alignment horizontal="right" vertical="center" wrapText="1"/>
    </xf>
    <xf numFmtId="0" fontId="19" fillId="4" borderId="22" xfId="0" applyFont="1" applyFill="1" applyBorder="1" applyAlignment="1">
      <alignment horizontal="left" vertical="center" indent="2"/>
    </xf>
    <xf numFmtId="170" fontId="0" fillId="0" borderId="0" xfId="0" applyNumberFormat="1"/>
    <xf numFmtId="0" fontId="19" fillId="5" borderId="1" xfId="0" applyFont="1" applyFill="1" applyBorder="1" applyAlignment="1">
      <alignment horizontal="left" vertical="center"/>
    </xf>
    <xf numFmtId="170" fontId="19" fillId="5" borderId="1" xfId="0" applyNumberFormat="1" applyFont="1" applyFill="1" applyBorder="1" applyAlignment="1">
      <alignment horizontal="right" vertical="center" wrapText="1"/>
    </xf>
    <xf numFmtId="0" fontId="19" fillId="5" borderId="21" xfId="0" applyFont="1" applyFill="1" applyBorder="1" applyAlignment="1">
      <alignment horizontal="left" vertical="center"/>
    </xf>
    <xf numFmtId="170" fontId="19" fillId="5" borderId="21" xfId="0" applyNumberFormat="1" applyFont="1" applyFill="1" applyBorder="1" applyAlignment="1">
      <alignment horizontal="right" vertical="center" wrapText="1"/>
    </xf>
    <xf numFmtId="0" fontId="19" fillId="4" borderId="24" xfId="0" applyFont="1" applyFill="1" applyBorder="1" applyAlignment="1">
      <alignment horizontal="left" vertical="center" indent="2"/>
    </xf>
    <xf numFmtId="170" fontId="19" fillId="4" borderId="24" xfId="0" applyNumberFormat="1" applyFont="1" applyFill="1" applyBorder="1" applyAlignment="1">
      <alignment horizontal="right" vertical="center" wrapText="1"/>
    </xf>
    <xf numFmtId="0" fontId="19" fillId="5" borderId="1" xfId="0" applyFont="1" applyFill="1" applyBorder="1" applyAlignment="1">
      <alignment horizontal="left" vertical="center" indent="2"/>
    </xf>
    <xf numFmtId="0" fontId="19" fillId="5" borderId="7" xfId="0" applyFont="1" applyFill="1" applyBorder="1" applyAlignment="1">
      <alignment horizontal="left" vertical="center" indent="2"/>
    </xf>
    <xf numFmtId="170" fontId="19" fillId="5" borderId="7" xfId="0" applyNumberFormat="1" applyFont="1" applyFill="1" applyBorder="1" applyAlignment="1">
      <alignment horizontal="right" vertical="center" wrapText="1"/>
    </xf>
    <xf numFmtId="0" fontId="22" fillId="2" borderId="25" xfId="0" applyFont="1" applyFill="1" applyBorder="1" applyAlignment="1">
      <alignment horizontal="left" vertical="center"/>
    </xf>
    <xf numFmtId="170" fontId="22" fillId="2" borderId="25" xfId="0" applyNumberFormat="1" applyFont="1" applyFill="1" applyBorder="1" applyAlignment="1">
      <alignment horizontal="right" vertical="center"/>
    </xf>
    <xf numFmtId="0" fontId="9" fillId="0" borderId="0" xfId="0" applyFont="1" applyAlignment="1">
      <alignment horizontal="left" vertical="top" wrapText="1"/>
    </xf>
    <xf numFmtId="0" fontId="0" fillId="2" borderId="0" xfId="0" applyFill="1"/>
    <xf numFmtId="0" fontId="10" fillId="0" borderId="0" xfId="0" applyFont="1" applyAlignment="1">
      <alignment horizontal="left" vertical="center" wrapText="1"/>
    </xf>
    <xf numFmtId="0" fontId="11" fillId="0" borderId="0" xfId="0" applyFont="1" applyAlignment="1">
      <alignment horizontal="left" vertical="center" wrapText="1"/>
    </xf>
    <xf numFmtId="0" fontId="12" fillId="2" borderId="0" xfId="0" applyFont="1" applyFill="1" applyAlignment="1">
      <alignment horizontal="left" vertical="center" wrapText="1"/>
    </xf>
    <xf numFmtId="0" fontId="6" fillId="5" borderId="0" xfId="0" applyFont="1" applyFill="1" applyAlignment="1">
      <alignment horizontal="left" vertical="top" wrapText="1"/>
    </xf>
    <xf numFmtId="0" fontId="12" fillId="3" borderId="0" xfId="0" applyFont="1" applyFill="1" applyAlignment="1">
      <alignment horizontal="left" vertical="center" wrapText="1"/>
    </xf>
    <xf numFmtId="0" fontId="13" fillId="5" borderId="0" xfId="0" applyFont="1" applyFill="1" applyAlignment="1">
      <alignment horizontal="center" vertical="center" wrapText="1"/>
    </xf>
    <xf numFmtId="3" fontId="14" fillId="4" borderId="0" xfId="0" applyNumberFormat="1" applyFont="1" applyFill="1" applyAlignment="1">
      <alignment horizontal="center" vertical="center" wrapText="1"/>
    </xf>
    <xf numFmtId="164" fontId="14" fillId="4" borderId="0" xfId="0" applyNumberFormat="1" applyFont="1" applyFill="1" applyAlignment="1">
      <alignment horizontal="center" vertical="center" wrapText="1"/>
    </xf>
    <xf numFmtId="3" fontId="9" fillId="6" borderId="0" xfId="0" applyNumberFormat="1" applyFont="1" applyFill="1" applyAlignment="1">
      <alignment horizontal="center" vertical="center" wrapText="1"/>
    </xf>
    <xf numFmtId="164" fontId="9" fillId="6" borderId="0" xfId="0" applyNumberFormat="1" applyFont="1" applyFill="1" applyAlignment="1">
      <alignment horizontal="center" vertical="center" wrapText="1"/>
    </xf>
    <xf numFmtId="0" fontId="4" fillId="7" borderId="0" xfId="0" applyFont="1" applyFill="1" applyAlignment="1">
      <alignment horizontal="left" vertical="center" wrapText="1"/>
    </xf>
    <xf numFmtId="0" fontId="16" fillId="8" borderId="0" xfId="0" applyFont="1" applyFill="1" applyAlignment="1">
      <alignment horizontal="left" vertical="top" wrapText="1"/>
    </xf>
    <xf numFmtId="0" fontId="16" fillId="9" borderId="0" xfId="0" applyFont="1" applyFill="1" applyAlignment="1">
      <alignment horizontal="left" vertical="top" wrapText="1"/>
    </xf>
    <xf numFmtId="0" fontId="16" fillId="6" borderId="0" xfId="0" applyFont="1" applyFill="1" applyAlignment="1">
      <alignment horizontal="left" vertical="top" wrapText="1"/>
    </xf>
    <xf numFmtId="0" fontId="17" fillId="4" borderId="0" xfId="0" applyFont="1" applyFill="1" applyAlignment="1">
      <alignment horizontal="left" vertical="top" wrapText="1"/>
    </xf>
    <xf numFmtId="0" fontId="8" fillId="4" borderId="0" xfId="0" applyFont="1" applyFill="1" applyAlignment="1">
      <alignment horizontal="left" vertical="top" wrapText="1"/>
    </xf>
    <xf numFmtId="0" fontId="17" fillId="5" borderId="0" xfId="0" applyFont="1" applyFill="1" applyAlignment="1">
      <alignment horizontal="left" vertical="top" wrapText="1"/>
    </xf>
    <xf numFmtId="0" fontId="8" fillId="5" borderId="0" xfId="0" applyFont="1" applyFill="1" applyAlignment="1">
      <alignment horizontal="left" vertical="top" wrapText="1"/>
    </xf>
    <xf numFmtId="0" fontId="18" fillId="2" borderId="0" xfId="0" applyFont="1" applyFill="1" applyAlignment="1">
      <alignment horizontal="center" vertical="center"/>
    </xf>
    <xf numFmtId="3" fontId="20" fillId="10" borderId="0" xfId="0" applyNumberFormat="1" applyFont="1" applyFill="1" applyAlignment="1">
      <alignment horizontal="left" vertical="top" wrapText="1"/>
    </xf>
    <xf numFmtId="0" fontId="20" fillId="10" borderId="0" xfId="0" applyFont="1" applyFill="1" applyAlignment="1">
      <alignment horizontal="center" vertical="top" wrapText="1"/>
    </xf>
    <xf numFmtId="0" fontId="22" fillId="2" borderId="0" xfId="0" applyFont="1" applyFill="1" applyAlignment="1">
      <alignment horizontal="center" vertical="center"/>
    </xf>
    <xf numFmtId="0" fontId="22" fillId="2" borderId="0" xfId="0" applyFont="1" applyFill="1" applyAlignment="1">
      <alignment horizontal="left" vertical="center"/>
    </xf>
    <xf numFmtId="0" fontId="24" fillId="12" borderId="5" xfId="0" applyFont="1" applyFill="1" applyBorder="1" applyAlignment="1">
      <alignment horizontal="right" vertical="center" wrapText="1"/>
    </xf>
    <xf numFmtId="0" fontId="0" fillId="0" borderId="0" xfId="0" applyAlignment="1">
      <alignment horizontal="center" vertical="top" wrapText="1"/>
    </xf>
    <xf numFmtId="0" fontId="25" fillId="2" borderId="0" xfId="0" applyFont="1" applyFill="1" applyAlignment="1">
      <alignment horizontal="left" vertical="center"/>
    </xf>
    <xf numFmtId="0" fontId="26" fillId="13" borderId="6" xfId="0" applyFont="1" applyFill="1" applyBorder="1" applyAlignment="1">
      <alignment horizontal="left" vertical="center" wrapText="1"/>
    </xf>
    <xf numFmtId="0" fontId="30" fillId="15" borderId="0" xfId="0" applyFont="1" applyFill="1" applyAlignment="1">
      <alignment horizontal="left" vertical="center" wrapText="1"/>
    </xf>
    <xf numFmtId="0" fontId="26" fillId="13" borderId="12" xfId="0" applyFont="1" applyFill="1" applyBorder="1" applyAlignment="1">
      <alignment horizontal="left" vertical="center" wrapText="1"/>
    </xf>
    <xf numFmtId="0" fontId="26" fillId="13" borderId="13" xfId="0" applyFont="1" applyFill="1" applyBorder="1" applyAlignment="1">
      <alignment horizontal="left" vertical="center" wrapText="1"/>
    </xf>
    <xf numFmtId="0" fontId="26" fillId="13" borderId="14" xfId="0" applyFont="1" applyFill="1" applyBorder="1" applyAlignment="1">
      <alignment horizontal="left" vertical="center" wrapText="1"/>
    </xf>
    <xf numFmtId="0" fontId="18" fillId="2" borderId="1" xfId="0" applyFont="1" applyFill="1" applyBorder="1" applyAlignment="1">
      <alignment horizontal="left" vertical="center"/>
    </xf>
    <xf numFmtId="0" fontId="31" fillId="5" borderId="15" xfId="0" applyFont="1" applyFill="1" applyBorder="1" applyAlignment="1">
      <alignment horizontal="left" vertical="center"/>
    </xf>
    <xf numFmtId="0" fontId="32" fillId="5" borderId="15" xfId="0" applyFont="1" applyFill="1" applyBorder="1" applyAlignment="1">
      <alignment horizontal="left" vertical="center"/>
    </xf>
    <xf numFmtId="0" fontId="33" fillId="4" borderId="0" xfId="0" applyFont="1" applyFill="1" applyAlignment="1">
      <alignment horizontal="left" vertical="top" wrapText="1"/>
    </xf>
    <xf numFmtId="0" fontId="4" fillId="16" borderId="0" xfId="0" applyFont="1" applyFill="1" applyAlignment="1">
      <alignment horizontal="left" vertical="center" wrapText="1"/>
    </xf>
    <xf numFmtId="0" fontId="35" fillId="0" borderId="0" xfId="0" applyFont="1" applyAlignment="1">
      <alignment horizontal="left" vertical="center" wrapText="1"/>
    </xf>
    <xf numFmtId="164" fontId="35" fillId="0" borderId="0" xfId="0" applyNumberFormat="1" applyFont="1" applyAlignment="1">
      <alignment horizontal="center" vertical="center" wrapText="1"/>
    </xf>
    <xf numFmtId="0" fontId="0" fillId="0" borderId="0" xfId="0" applyFill="1"/>
    <xf numFmtId="0" fontId="36" fillId="18" borderId="26" xfId="0" applyFont="1" applyFill="1" applyBorder="1" applyAlignment="1">
      <alignment horizontal="center" vertical="center"/>
    </xf>
    <xf numFmtId="0" fontId="37" fillId="0" borderId="0" xfId="0" applyFont="1" applyAlignment="1">
      <alignment horizontal="left" vertical="top" wrapText="1"/>
    </xf>
    <xf numFmtId="0" fontId="38" fillId="17" borderId="1" xfId="0" applyFont="1" applyFill="1" applyBorder="1" applyAlignment="1">
      <alignment horizontal="left" vertical="center"/>
    </xf>
    <xf numFmtId="0" fontId="38" fillId="17"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1E7A3D"/>
      <rgbColor rgb="FF000080"/>
      <rgbColor rgb="FF6B5A2B"/>
      <rgbColor rgb="FF800080"/>
      <rgbColor rgb="FF008080"/>
      <rgbColor rgb="FFBFBFBF"/>
      <rgbColor rgb="FF7F8C8D"/>
      <rgbColor rgb="FFEEF5FB"/>
      <rgbColor rgb="FFC0504D"/>
      <rgbColor rgb="FFFFF2CC"/>
      <rgbColor rgb="FFD9EAF7"/>
      <rgbColor rgb="FF660066"/>
      <rgbColor rgb="FFF7FAFC"/>
      <rgbColor rgb="FF0066CC"/>
      <rgbColor rgb="FFD9D9D9"/>
      <rgbColor rgb="FF000080"/>
      <rgbColor rgb="FFFF00FF"/>
      <rgbColor rgb="FFFFF8E7"/>
      <rgbColor rgb="FF00FFFF"/>
      <rgbColor rgb="FF800080"/>
      <rgbColor rgb="FF800000"/>
      <rgbColor rgb="FF008080"/>
      <rgbColor rgb="FF0000FF"/>
      <rgbColor rgb="FF00B0F0"/>
      <rgbColor rgb="FFE3F1E7"/>
      <rgbColor rgb="FFE2F0D9"/>
      <rgbColor rgb="FFFCEFD9"/>
      <rgbColor rgb="FF9FBAD0"/>
      <rgbColor rgb="FFEAF2F8"/>
      <rgbColor rgb="FFD6E4F0"/>
      <rgbColor rgb="FFD9E2F3"/>
      <rgbColor rgb="FF2F75B5"/>
      <rgbColor rgb="FF33CCCC"/>
      <rgbColor rgb="FF99CC00"/>
      <rgbColor rgb="FFF3F6F9"/>
      <rgbColor rgb="FFFF9900"/>
      <rgbColor rgb="FFFF6600"/>
      <rgbColor rgb="FF5B6573"/>
      <rgbColor rgb="FF70AD47"/>
      <rgbColor rgb="FF17365D"/>
      <rgbColor rgb="FF4F81BD"/>
      <rgbColor rgb="FF1B4332"/>
      <rgbColor rgb="FF1F2937"/>
      <rgbColor rgb="FF9C5B0A"/>
      <rgbColor rgb="FF993366"/>
      <rgbColor rgb="FF595959"/>
      <rgbColor rgb="FF243447"/>
      <rgbColor rgb="00003366"/>
      <rgbColor rgb="00339966"/>
      <rgbColor rgb="00003300"/>
      <rgbColor rgb="00333300"/>
      <rgbColor rgb="00993300"/>
      <rgbColor rgb="00993366"/>
      <rgbColor rgb="00333399"/>
      <rgbColor rgb="00333333"/>
    </indexedColors>
    <mruColors>
      <color rgb="FFFF59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0"/>
        <c:ser>
          <c:idx val="0"/>
          <c:order val="0"/>
          <c:tx>
            <c:strRef>
              <c:f>Analysis!$B$4</c:f>
              <c:strCache>
                <c:ptCount val="1"/>
                <c:pt idx="0">
                  <c:v>Unique Annual Transacting Users (Crores)</c:v>
                </c:pt>
              </c:strCache>
            </c:strRef>
          </c:tx>
          <c:spPr>
            <a:ln w="19080" cap="rnd">
              <a:solidFill>
                <a:srgbClr val="4F81BD"/>
              </a:solidFill>
              <a:round/>
            </a:ln>
          </c:spPr>
          <c:marker>
            <c:symbol val="circle"/>
            <c:size val="5"/>
            <c:spPr>
              <a:solidFill>
                <a:srgbClr val="4F81BD"/>
              </a:solidFill>
            </c:spPr>
          </c:marker>
          <c:dLbls>
            <c:spPr>
              <a:noFill/>
              <a:ln>
                <a:noFill/>
              </a:ln>
              <a:effectLst/>
            </c:spPr>
            <c:txPr>
              <a:bodyPr wrap="square"/>
              <a:lstStyle/>
              <a:p>
                <a:pPr>
                  <a:defRPr sz="900" b="1" strike="noStrike" spc="-1">
                    <a:solidFill>
                      <a:srgbClr val="FF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xVal>
            <c:numRef>
              <c:f>Analysis!$A$5:$A$9</c:f>
              <c:numCache>
                <c:formatCode>0</c:formatCode>
                <c:ptCount val="5"/>
                <c:pt idx="0">
                  <c:v>2022</c:v>
                </c:pt>
                <c:pt idx="1">
                  <c:v>2023</c:v>
                </c:pt>
                <c:pt idx="2">
                  <c:v>2024</c:v>
                </c:pt>
                <c:pt idx="3">
                  <c:v>2025</c:v>
                </c:pt>
                <c:pt idx="4">
                  <c:v>2026</c:v>
                </c:pt>
              </c:numCache>
            </c:numRef>
          </c:xVal>
          <c:yVal>
            <c:numRef>
              <c:f>Analysis!$B$5:$B$9</c:f>
              <c:numCache>
                <c:formatCode>0.00</c:formatCode>
                <c:ptCount val="5"/>
                <c:pt idx="0">
                  <c:v>0.9</c:v>
                </c:pt>
                <c:pt idx="1">
                  <c:v>1.5499999999999998</c:v>
                </c:pt>
                <c:pt idx="2">
                  <c:v>2.5</c:v>
                </c:pt>
                <c:pt idx="3">
                  <c:v>3.4000000000000004</c:v>
                </c:pt>
                <c:pt idx="4">
                  <c:v>4.25</c:v>
                </c:pt>
              </c:numCache>
            </c:numRef>
          </c:yVal>
          <c:smooth val="0"/>
          <c:extLst>
            <c:ext xmlns:c16="http://schemas.microsoft.com/office/drawing/2014/chart" uri="{C3380CC4-5D6E-409C-BE32-E72D297353CC}">
              <c16:uniqueId val="{00000000-4C12-4558-8A7A-6246952C7A19}"/>
            </c:ext>
          </c:extLst>
        </c:ser>
        <c:dLbls>
          <c:showLegendKey val="0"/>
          <c:showVal val="0"/>
          <c:showCatName val="0"/>
          <c:showSerName val="0"/>
          <c:showPercent val="0"/>
          <c:showBubbleSize val="0"/>
        </c:dLbls>
        <c:axId val="48867092"/>
        <c:axId val="31204295"/>
      </c:scatterChart>
      <c:valAx>
        <c:axId val="48867092"/>
        <c:scaling>
          <c:orientation val="minMax"/>
          <c:max val="2027"/>
          <c:min val="2022"/>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31204295"/>
        <c:crosses val="autoZero"/>
        <c:crossBetween val="midCat"/>
      </c:valAx>
      <c:valAx>
        <c:axId val="3120429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US"/>
          </a:p>
        </c:txPr>
        <c:crossAx val="4886709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'Ratio Analysis'!$A$10</c:f>
              <c:strCache>
                <c:ptCount val="1"/>
                <c:pt idx="0">
                  <c:v>ROCE</c:v>
                </c:pt>
              </c:strCache>
            </c:strRef>
          </c:tx>
          <c:spPr>
            <a:ln w="28440" cap="rnd">
              <a:solidFill>
                <a:srgbClr val="4F81BD"/>
              </a:solidFill>
              <a:round/>
            </a:ln>
          </c:spPr>
          <c:marker>
            <c:symbol val="circle"/>
            <c:size val="5"/>
            <c:spPr>
              <a:solidFill>
                <a:srgbClr val="4F81BD"/>
              </a:solidFill>
            </c:spPr>
          </c:marker>
          <c:dLbls>
            <c:spPr>
              <a:noFill/>
              <a:ln>
                <a:noFill/>
              </a:ln>
              <a:effectLst/>
            </c:spPr>
            <c:txPr>
              <a:bodyPr wrap="square"/>
              <a:lstStyle/>
              <a:p>
                <a:pPr>
                  <a:defRPr sz="900" b="1" strike="noStrike" spc="-1">
                    <a:solidFill>
                      <a:srgbClr val="FF0000"/>
                    </a:solidFill>
                    <a:latin typeface="Calibri"/>
                  </a:defRPr>
                </a:pPr>
                <a:endParaRPr lang="en-US"/>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Analysis'!$B$9:$F$9</c:f>
              <c:strCache>
                <c:ptCount val="5"/>
                <c:pt idx="0">
                  <c:v>Mar-22</c:v>
                </c:pt>
                <c:pt idx="1">
                  <c:v>Mar-23</c:v>
                </c:pt>
                <c:pt idx="2">
                  <c:v>Mar-24</c:v>
                </c:pt>
                <c:pt idx="3">
                  <c:v>Mar-25</c:v>
                </c:pt>
                <c:pt idx="4">
                  <c:v>Mar-26</c:v>
                </c:pt>
              </c:strCache>
            </c:strRef>
          </c:cat>
          <c:val>
            <c:numRef>
              <c:f>'Ratio Analysis'!$B$10:$F$10</c:f>
              <c:numCache>
                <c:formatCode>0%</c:formatCode>
                <c:ptCount val="5"/>
                <c:pt idx="0">
                  <c:v>0.10467971655090157</c:v>
                </c:pt>
                <c:pt idx="1">
                  <c:v>0.14292583243178267</c:v>
                </c:pt>
                <c:pt idx="2">
                  <c:v>0.13213150627833065</c:v>
                </c:pt>
                <c:pt idx="3">
                  <c:v>0.12248314555902448</c:v>
                </c:pt>
                <c:pt idx="4">
                  <c:v>0.11540254895865713</c:v>
                </c:pt>
              </c:numCache>
            </c:numRef>
          </c:val>
          <c:smooth val="0"/>
          <c:extLst>
            <c:ext xmlns:c16="http://schemas.microsoft.com/office/drawing/2014/chart" uri="{C3380CC4-5D6E-409C-BE32-E72D297353CC}">
              <c16:uniqueId val="{00000000-27B5-40AD-B3BF-D0D6F8D5EB2D}"/>
            </c:ext>
          </c:extLst>
        </c:ser>
        <c:dLbls>
          <c:showLegendKey val="0"/>
          <c:showVal val="0"/>
          <c:showCatName val="0"/>
          <c:showSerName val="0"/>
          <c:showPercent val="0"/>
          <c:showBubbleSize val="0"/>
        </c:dLbls>
        <c:hiLowLines>
          <c:spPr>
            <a:ln w="0">
              <a:noFill/>
            </a:ln>
          </c:spPr>
        </c:hiLowLines>
        <c:marker val="1"/>
        <c:smooth val="0"/>
        <c:axId val="67388930"/>
        <c:axId val="23766190"/>
      </c:lineChart>
      <c:catAx>
        <c:axId val="6738893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23766190"/>
        <c:crosses val="autoZero"/>
        <c:auto val="1"/>
        <c:lblAlgn val="ctr"/>
        <c:lblOffset val="100"/>
        <c:noMultiLvlLbl val="0"/>
      </c:catAx>
      <c:valAx>
        <c:axId val="23766190"/>
        <c:scaling>
          <c:orientation val="minMax"/>
        </c:scaling>
        <c:delete val="0"/>
        <c:axPos val="l"/>
        <c:majorGridlines>
          <c:spPr>
            <a:ln w="9360">
              <a:solidFill>
                <a:srgbClr val="D9D9D9"/>
              </a:solidFill>
              <a:round/>
            </a:ln>
          </c:spPr>
        </c:majorGridlines>
        <c:numFmt formatCode="0%" sourceLinked="0"/>
        <c:majorTickMark val="out"/>
        <c:minorTickMark val="none"/>
        <c:tickLblPos val="nextTo"/>
        <c:spPr>
          <a:ln w="9360">
            <a:noFill/>
          </a:ln>
        </c:spPr>
        <c:txPr>
          <a:bodyPr/>
          <a:lstStyle/>
          <a:p>
            <a:pPr>
              <a:defRPr sz="900" b="0" strike="noStrike" spc="-1">
                <a:solidFill>
                  <a:srgbClr val="595959"/>
                </a:solidFill>
                <a:latin typeface="Calibri"/>
              </a:defRPr>
            </a:pPr>
            <a:endParaRPr lang="en-US"/>
          </a:p>
        </c:txPr>
        <c:crossAx val="6738893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Analysis!$D$33</c:f>
              <c:strCache>
                <c:ptCount val="1"/>
                <c:pt idx="0">
                  <c:v>Expenses per ₹100 of Sales</c:v>
                </c:pt>
              </c:strCache>
            </c:strRef>
          </c:tx>
          <c:spPr>
            <a:solidFill>
              <a:srgbClr val="4F81BD"/>
            </a:solidFill>
            <a:ln w="0">
              <a:noFill/>
            </a:ln>
          </c:spPr>
          <c:invertIfNegative val="0"/>
          <c:dLbls>
            <c:spPr>
              <a:noFill/>
              <a:ln>
                <a:noFill/>
              </a:ln>
              <a:effectLst/>
            </c:spPr>
            <c:txPr>
              <a:bodyPr wrap="square"/>
              <a:lstStyle/>
              <a:p>
                <a:pPr>
                  <a:defRPr sz="900" b="1" strike="noStrike" spc="-1">
                    <a:solidFill>
                      <a:srgbClr val="FF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Analysis!$F$32:$I$32</c:f>
              <c:strCache>
                <c:ptCount val="4"/>
                <c:pt idx="0">
                  <c:v>Mar-23</c:v>
                </c:pt>
                <c:pt idx="1">
                  <c:v>Mar-24</c:v>
                </c:pt>
                <c:pt idx="2">
                  <c:v>Mar-25</c:v>
                </c:pt>
                <c:pt idx="3">
                  <c:v>Mar-26</c:v>
                </c:pt>
              </c:strCache>
            </c:strRef>
          </c:cat>
          <c:val>
            <c:numRef>
              <c:f>Analysis!$F$33:$I$33</c:f>
              <c:numCache>
                <c:formatCode>0.00</c:formatCode>
                <c:ptCount val="4"/>
                <c:pt idx="0">
                  <c:v>91.505602240896351</c:v>
                </c:pt>
                <c:pt idx="1">
                  <c:v>91.915572269585937</c:v>
                </c:pt>
                <c:pt idx="2">
                  <c:v>92.428990195087437</c:v>
                </c:pt>
                <c:pt idx="3">
                  <c:v>92.460150244838061</c:v>
                </c:pt>
              </c:numCache>
            </c:numRef>
          </c:val>
          <c:extLst>
            <c:ext xmlns:c16="http://schemas.microsoft.com/office/drawing/2014/chart" uri="{C3380CC4-5D6E-409C-BE32-E72D297353CC}">
              <c16:uniqueId val="{00000000-167F-48A7-B362-2C7A2BEC4E28}"/>
            </c:ext>
          </c:extLst>
        </c:ser>
        <c:dLbls>
          <c:showLegendKey val="0"/>
          <c:showVal val="0"/>
          <c:showCatName val="0"/>
          <c:showSerName val="0"/>
          <c:showPercent val="0"/>
          <c:showBubbleSize val="0"/>
        </c:dLbls>
        <c:gapWidth val="219"/>
        <c:overlap val="-27"/>
        <c:axId val="29552846"/>
        <c:axId val="60836073"/>
      </c:barChart>
      <c:catAx>
        <c:axId val="2955284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0836073"/>
        <c:crosses val="autoZero"/>
        <c:auto val="1"/>
        <c:lblAlgn val="ctr"/>
        <c:lblOffset val="100"/>
        <c:noMultiLvlLbl val="0"/>
      </c:catAx>
      <c:valAx>
        <c:axId val="6083607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295528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1" strike="noStrike" spc="-1">
                <a:solidFill>
                  <a:srgbClr val="595959"/>
                </a:solidFill>
                <a:latin typeface="Calibri"/>
              </a:defRPr>
            </a:pPr>
            <a:r>
              <a:rPr lang="en-US" sz="1400" b="1" strike="noStrike" spc="-1">
                <a:solidFill>
                  <a:srgbClr val="595959"/>
                </a:solidFill>
                <a:latin typeface="Calibri"/>
              </a:rPr>
              <a:t>Inventory Turnover Ratio</a:t>
            </a:r>
          </a:p>
        </c:rich>
      </c:tx>
      <c:overlay val="0"/>
      <c:spPr>
        <a:noFill/>
        <a:ln w="0">
          <a:noFill/>
        </a:ln>
      </c:spPr>
    </c:title>
    <c:autoTitleDeleted val="0"/>
    <c:plotArea>
      <c:layout/>
      <c:lineChart>
        <c:grouping val="standard"/>
        <c:varyColors val="0"/>
        <c:ser>
          <c:idx val="0"/>
          <c:order val="0"/>
          <c:tx>
            <c:strRef>
              <c:f>'Ratio Analysis'!$A$23:$B$23</c:f>
              <c:strCache>
                <c:ptCount val="2"/>
                <c:pt idx="0">
                  <c:v>Inventory Turnover Ratio</c:v>
                </c:pt>
                <c:pt idx="1">
                  <c:v>N/A</c:v>
                </c:pt>
              </c:strCache>
            </c:strRef>
          </c:tx>
          <c:spPr>
            <a:ln w="28440" cap="rnd">
              <a:solidFill>
                <a:srgbClr val="4F81BD"/>
              </a:solidFill>
              <a:round/>
            </a:ln>
          </c:spPr>
          <c:marker>
            <c:symbol val="circle"/>
            <c:size val="5"/>
            <c:spPr>
              <a:solidFill>
                <a:srgbClr val="4F81BD"/>
              </a:solidFill>
            </c:spPr>
          </c:marker>
          <c:dLbls>
            <c:spPr>
              <a:noFill/>
              <a:ln>
                <a:noFill/>
              </a:ln>
              <a:effectLst/>
            </c:spPr>
            <c:txPr>
              <a:bodyPr wrap="square"/>
              <a:lstStyle/>
              <a:p>
                <a:pPr>
                  <a:defRPr sz="900" b="1" strike="noStrike" spc="-1">
                    <a:solidFill>
                      <a:srgbClr val="FF0000"/>
                    </a:solidFill>
                    <a:latin typeface="Calibri"/>
                  </a:defRPr>
                </a:pPr>
                <a:endParaRPr lang="en-US"/>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Analysis'!$C$22:$F$22</c:f>
              <c:strCache>
                <c:ptCount val="4"/>
                <c:pt idx="0">
                  <c:v>Mar-23</c:v>
                </c:pt>
                <c:pt idx="1">
                  <c:v>Mar-24</c:v>
                </c:pt>
                <c:pt idx="2">
                  <c:v>Mar-25</c:v>
                </c:pt>
                <c:pt idx="3">
                  <c:v>Mar-26</c:v>
                </c:pt>
              </c:strCache>
            </c:strRef>
          </c:cat>
          <c:val>
            <c:numRef>
              <c:f>'Ratio Analysis'!$C$23:$F$23</c:f>
              <c:numCache>
                <c:formatCode>0.0\x</c:formatCode>
                <c:ptCount val="4"/>
                <c:pt idx="0">
                  <c:v>13.097560975609756</c:v>
                </c:pt>
                <c:pt idx="1">
                  <c:v>13.021757322175732</c:v>
                </c:pt>
                <c:pt idx="2">
                  <c:v>12.231412328614423</c:v>
                </c:pt>
                <c:pt idx="3">
                  <c:v>11.627592507994517</c:v>
                </c:pt>
              </c:numCache>
            </c:numRef>
          </c:val>
          <c:smooth val="0"/>
          <c:extLst>
            <c:ext xmlns:c16="http://schemas.microsoft.com/office/drawing/2014/chart" uri="{C3380CC4-5D6E-409C-BE32-E72D297353CC}">
              <c16:uniqueId val="{00000000-B88C-4766-9439-2768E369F2F0}"/>
            </c:ext>
          </c:extLst>
        </c:ser>
        <c:dLbls>
          <c:showLegendKey val="0"/>
          <c:showVal val="0"/>
          <c:showCatName val="0"/>
          <c:showSerName val="0"/>
          <c:showPercent val="0"/>
          <c:showBubbleSize val="0"/>
        </c:dLbls>
        <c:hiLowLines>
          <c:spPr>
            <a:ln w="0">
              <a:noFill/>
            </a:ln>
          </c:spPr>
        </c:hiLowLines>
        <c:marker val="1"/>
        <c:smooth val="0"/>
        <c:axId val="47184789"/>
        <c:axId val="91169412"/>
      </c:lineChart>
      <c:catAx>
        <c:axId val="47184789"/>
        <c:scaling>
          <c:orientation val="minMax"/>
        </c:scaling>
        <c:delete val="0"/>
        <c:axPos val="b"/>
        <c:numFmt formatCode="General" sourceLinked="0"/>
        <c:majorTickMark val="out"/>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91169412"/>
        <c:crosses val="autoZero"/>
        <c:auto val="1"/>
        <c:lblAlgn val="ctr"/>
        <c:lblOffset val="100"/>
        <c:noMultiLvlLbl val="0"/>
      </c:catAx>
      <c:valAx>
        <c:axId val="91169412"/>
        <c:scaling>
          <c:orientation val="minMax"/>
        </c:scaling>
        <c:delete val="0"/>
        <c:axPos val="l"/>
        <c:majorGridlines>
          <c:spPr>
            <a:ln w="9360">
              <a:solidFill>
                <a:srgbClr val="D9D9D9"/>
              </a:solidFill>
              <a:round/>
            </a:ln>
          </c:spPr>
        </c:majorGridlines>
        <c:numFmt formatCode="0.0\x"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471847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357840</xdr:colOff>
      <xdr:row>3</xdr:row>
      <xdr:rowOff>15120</xdr:rowOff>
    </xdr:from>
    <xdr:to>
      <xdr:col>9</xdr:col>
      <xdr:colOff>302760</xdr:colOff>
      <xdr:row>10</xdr:row>
      <xdr:rowOff>195120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6480</xdr:colOff>
      <xdr:row>13</xdr:row>
      <xdr:rowOff>10080</xdr:rowOff>
    </xdr:from>
    <xdr:to>
      <xdr:col>7</xdr:col>
      <xdr:colOff>255960</xdr:colOff>
      <xdr:row>26</xdr:row>
      <xdr:rowOff>156960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11160</xdr:colOff>
      <xdr:row>29</xdr:row>
      <xdr:rowOff>32760</xdr:rowOff>
    </xdr:from>
    <xdr:to>
      <xdr:col>2</xdr:col>
      <xdr:colOff>161280</xdr:colOff>
      <xdr:row>46</xdr:row>
      <xdr:rowOff>81720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50</xdr:row>
      <xdr:rowOff>16560</xdr:rowOff>
    </xdr:from>
    <xdr:to>
      <xdr:col>7</xdr:col>
      <xdr:colOff>77400</xdr:colOff>
      <xdr:row>66</xdr:row>
      <xdr:rowOff>180000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N28"/>
  <sheetViews>
    <sheetView showGridLines="0" topLeftCell="A16" zoomScaleNormal="100" workbookViewId="0">
      <selection activeCell="D12" sqref="D12:I12"/>
    </sheetView>
  </sheetViews>
  <sheetFormatPr defaultColWidth="8.6640625" defaultRowHeight="14.4" x14ac:dyDescent="0.3"/>
  <cols>
    <col min="1" max="1" width="3" customWidth="1"/>
    <col min="2" max="9" width="20" customWidth="1"/>
    <col min="10" max="13" width="10" customWidth="1"/>
    <col min="14" max="14" width="3" customWidth="1"/>
  </cols>
  <sheetData>
    <row r="1" spans="1:14" ht="9.75" customHeight="1" x14ac:dyDescent="0.45">
      <c r="A1" s="14"/>
      <c r="B1" s="14"/>
      <c r="C1" s="14"/>
      <c r="D1" s="14"/>
      <c r="E1" s="14"/>
      <c r="F1" s="14"/>
      <c r="G1" s="14"/>
      <c r="H1" s="14"/>
      <c r="I1" s="14"/>
      <c r="J1" s="14"/>
      <c r="K1" s="14"/>
      <c r="L1" s="14"/>
      <c r="M1" s="14"/>
      <c r="N1" s="14"/>
    </row>
    <row r="2" spans="1:14" ht="13.5" customHeight="1" x14ac:dyDescent="0.3"/>
    <row r="3" spans="1:14" ht="42" customHeight="1" x14ac:dyDescent="0.3">
      <c r="B3" s="13" t="s">
        <v>0</v>
      </c>
      <c r="C3" s="13"/>
      <c r="D3" s="13"/>
      <c r="E3" s="13"/>
      <c r="F3" s="13"/>
      <c r="G3" s="13"/>
      <c r="H3" s="13"/>
      <c r="I3" s="13"/>
    </row>
    <row r="4" spans="1:14" ht="25.5" customHeight="1" x14ac:dyDescent="0.3">
      <c r="B4" s="12" t="s">
        <v>1</v>
      </c>
      <c r="C4" s="12"/>
      <c r="D4" s="12"/>
      <c r="E4" s="12"/>
      <c r="F4" s="12"/>
      <c r="G4" s="12"/>
      <c r="H4" s="12"/>
      <c r="I4" s="12"/>
    </row>
    <row r="5" spans="1:14" ht="7.5" customHeight="1" x14ac:dyDescent="0.3"/>
    <row r="6" spans="1:14" ht="3.75" customHeight="1" x14ac:dyDescent="0.3">
      <c r="B6" s="11"/>
      <c r="C6" s="11"/>
      <c r="D6" s="11"/>
      <c r="E6" s="11"/>
      <c r="F6" s="11"/>
      <c r="G6" s="11"/>
      <c r="H6" s="11"/>
      <c r="I6" s="11"/>
    </row>
    <row r="7" spans="1:14" ht="15.75" customHeight="1" x14ac:dyDescent="0.3"/>
    <row r="8" spans="1:14" ht="24" customHeight="1" x14ac:dyDescent="0.3">
      <c r="B8" s="10" t="s">
        <v>2</v>
      </c>
      <c r="C8" s="10"/>
      <c r="D8" s="10"/>
      <c r="E8" s="10"/>
      <c r="F8" s="10"/>
      <c r="G8" s="10"/>
      <c r="H8" s="10"/>
      <c r="I8" s="10"/>
    </row>
    <row r="9" spans="1:14" ht="9.75" customHeight="1" x14ac:dyDescent="0.3"/>
    <row r="10" spans="1:14" ht="21.75" customHeight="1" x14ac:dyDescent="0.3">
      <c r="B10" s="9" t="s">
        <v>3</v>
      </c>
      <c r="C10" s="9"/>
      <c r="D10" s="8" t="s">
        <v>281</v>
      </c>
      <c r="E10" s="8"/>
      <c r="F10" s="8"/>
      <c r="G10" s="8"/>
      <c r="H10" s="8"/>
      <c r="I10" s="8"/>
    </row>
    <row r="11" spans="1:14" ht="33.75" customHeight="1" x14ac:dyDescent="0.3">
      <c r="B11" s="7" t="s">
        <v>4</v>
      </c>
      <c r="C11" s="7"/>
      <c r="D11" s="6" t="s">
        <v>5</v>
      </c>
      <c r="E11" s="6"/>
      <c r="F11" s="6"/>
      <c r="G11" s="6"/>
      <c r="H11" s="6"/>
      <c r="I11" s="6"/>
    </row>
    <row r="12" spans="1:14" ht="21.75" customHeight="1" x14ac:dyDescent="0.3">
      <c r="B12" s="9" t="s">
        <v>6</v>
      </c>
      <c r="C12" s="9"/>
      <c r="D12" s="8" t="s">
        <v>282</v>
      </c>
      <c r="E12" s="8"/>
      <c r="F12" s="8"/>
      <c r="G12" s="8"/>
      <c r="H12" s="8"/>
      <c r="I12" s="8"/>
    </row>
    <row r="13" spans="1:14" ht="21.75" customHeight="1" x14ac:dyDescent="0.3">
      <c r="B13" s="7" t="s">
        <v>7</v>
      </c>
      <c r="C13" s="7"/>
      <c r="D13" s="6" t="s">
        <v>8</v>
      </c>
      <c r="E13" s="6"/>
      <c r="F13" s="6"/>
      <c r="G13" s="6"/>
      <c r="H13" s="6"/>
      <c r="I13" s="6"/>
    </row>
    <row r="14" spans="1:14" ht="33.75" customHeight="1" x14ac:dyDescent="0.3">
      <c r="B14" s="9" t="s">
        <v>9</v>
      </c>
      <c r="C14" s="9"/>
      <c r="D14" s="8" t="s">
        <v>10</v>
      </c>
      <c r="E14" s="8"/>
      <c r="F14" s="8"/>
      <c r="G14" s="8"/>
      <c r="H14" s="8"/>
      <c r="I14" s="8"/>
    </row>
    <row r="15" spans="1:14" ht="33.75" customHeight="1" x14ac:dyDescent="0.3">
      <c r="B15" s="7" t="s">
        <v>11</v>
      </c>
      <c r="C15" s="7"/>
      <c r="D15" s="6" t="s">
        <v>12</v>
      </c>
      <c r="E15" s="6"/>
      <c r="F15" s="6"/>
      <c r="G15" s="6"/>
      <c r="H15" s="6"/>
      <c r="I15" s="6"/>
    </row>
    <row r="16" spans="1:14" ht="33.75" customHeight="1" x14ac:dyDescent="0.3">
      <c r="B16" s="9" t="s">
        <v>13</v>
      </c>
      <c r="C16" s="9"/>
      <c r="D16" s="8" t="s">
        <v>14</v>
      </c>
      <c r="E16" s="8"/>
      <c r="F16" s="8"/>
      <c r="G16" s="8"/>
      <c r="H16" s="8"/>
      <c r="I16" s="8"/>
    </row>
    <row r="18" spans="2:9" ht="21.75" customHeight="1" x14ac:dyDescent="0.3">
      <c r="B18" s="5" t="s">
        <v>15</v>
      </c>
      <c r="C18" s="5"/>
      <c r="D18" s="5"/>
      <c r="E18" s="5"/>
      <c r="F18" s="5"/>
      <c r="G18" s="5"/>
      <c r="H18" s="5"/>
      <c r="I18" s="5"/>
    </row>
    <row r="19" spans="2:9" ht="19.5" customHeight="1" x14ac:dyDescent="0.3">
      <c r="B19" s="4" t="s">
        <v>16</v>
      </c>
      <c r="C19" s="4"/>
      <c r="D19" s="3" t="s">
        <v>17</v>
      </c>
      <c r="E19" s="3"/>
      <c r="F19" s="3"/>
      <c r="G19" s="3"/>
      <c r="H19" s="3"/>
      <c r="I19" s="3"/>
    </row>
    <row r="20" spans="2:9" ht="19.5" customHeight="1" x14ac:dyDescent="0.3">
      <c r="B20" s="2" t="s">
        <v>18</v>
      </c>
      <c r="C20" s="2"/>
      <c r="D20" s="1" t="s">
        <v>19</v>
      </c>
      <c r="E20" s="1"/>
      <c r="F20" s="1"/>
      <c r="G20" s="1"/>
      <c r="H20" s="1"/>
      <c r="I20" s="1"/>
    </row>
    <row r="21" spans="2:9" ht="19.5" customHeight="1" x14ac:dyDescent="0.3">
      <c r="B21" s="4" t="s">
        <v>20</v>
      </c>
      <c r="C21" s="4"/>
      <c r="D21" s="3" t="s">
        <v>21</v>
      </c>
      <c r="E21" s="3"/>
      <c r="F21" s="3"/>
      <c r="G21" s="3"/>
      <c r="H21" s="3"/>
      <c r="I21" s="3"/>
    </row>
    <row r="22" spans="2:9" ht="19.5" customHeight="1" x14ac:dyDescent="0.3">
      <c r="B22" s="2" t="s">
        <v>22</v>
      </c>
      <c r="C22" s="2"/>
      <c r="D22" s="1" t="s">
        <v>23</v>
      </c>
      <c r="E22" s="1"/>
      <c r="F22" s="1"/>
      <c r="G22" s="1"/>
      <c r="H22" s="1"/>
      <c r="I22" s="1"/>
    </row>
    <row r="23" spans="2:9" ht="19.5" customHeight="1" x14ac:dyDescent="0.3">
      <c r="B23" s="4" t="s">
        <v>24</v>
      </c>
      <c r="C23" s="4"/>
      <c r="D23" s="3" t="s">
        <v>25</v>
      </c>
      <c r="E23" s="3"/>
      <c r="F23" s="3"/>
      <c r="G23" s="3"/>
      <c r="H23" s="3"/>
      <c r="I23" s="3"/>
    </row>
    <row r="24" spans="2:9" ht="19.5" customHeight="1" x14ac:dyDescent="0.3">
      <c r="B24" s="2" t="s">
        <v>26</v>
      </c>
      <c r="C24" s="2"/>
      <c r="D24" s="1" t="s">
        <v>27</v>
      </c>
      <c r="E24" s="1"/>
      <c r="F24" s="1"/>
      <c r="G24" s="1"/>
      <c r="H24" s="1"/>
      <c r="I24" s="1"/>
    </row>
    <row r="26" spans="2:9" ht="45.75" customHeight="1" x14ac:dyDescent="0.3">
      <c r="B26" s="160" t="s">
        <v>28</v>
      </c>
      <c r="C26" s="160"/>
      <c r="D26" s="160"/>
      <c r="E26" s="160"/>
      <c r="F26" s="160"/>
      <c r="G26" s="160"/>
      <c r="H26" s="160"/>
      <c r="I26" s="160"/>
    </row>
    <row r="28" spans="2:9" ht="3.75" customHeight="1" x14ac:dyDescent="0.3">
      <c r="B28" s="161"/>
      <c r="C28" s="161"/>
      <c r="D28" s="161"/>
      <c r="E28" s="161"/>
      <c r="F28" s="161"/>
      <c r="G28" s="161"/>
      <c r="H28" s="161"/>
      <c r="I28" s="161"/>
    </row>
  </sheetData>
  <mergeCells count="34">
    <mergeCell ref="B28:I28"/>
    <mergeCell ref="B23:C23"/>
    <mergeCell ref="D23:I23"/>
    <mergeCell ref="B24:C24"/>
    <mergeCell ref="D24:I24"/>
    <mergeCell ref="B26:I26"/>
    <mergeCell ref="B20:C20"/>
    <mergeCell ref="D20:I20"/>
    <mergeCell ref="B21:C21"/>
    <mergeCell ref="D21:I21"/>
    <mergeCell ref="B22:C22"/>
    <mergeCell ref="D22:I22"/>
    <mergeCell ref="B16:C16"/>
    <mergeCell ref="D16:I16"/>
    <mergeCell ref="B18:I18"/>
    <mergeCell ref="B19:C19"/>
    <mergeCell ref="D19:I19"/>
    <mergeCell ref="B13:C13"/>
    <mergeCell ref="D13:I13"/>
    <mergeCell ref="B14:C14"/>
    <mergeCell ref="D14:I14"/>
    <mergeCell ref="B15:C15"/>
    <mergeCell ref="D15:I15"/>
    <mergeCell ref="B10:C10"/>
    <mergeCell ref="D10:I10"/>
    <mergeCell ref="B11:C11"/>
    <mergeCell ref="D11:I11"/>
    <mergeCell ref="B12:C12"/>
    <mergeCell ref="D12:I12"/>
    <mergeCell ref="A1:N1"/>
    <mergeCell ref="B3:I3"/>
    <mergeCell ref="B4:I4"/>
    <mergeCell ref="B6:I6"/>
    <mergeCell ref="B8:I8"/>
  </mergeCells>
  <pageMargins left="0.7" right="0.7" top="0.75" bottom="0.7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I39"/>
  <sheetViews>
    <sheetView showGridLines="0" tabSelected="1" topLeftCell="A22" zoomScaleNormal="100" workbookViewId="0">
      <selection activeCell="M19" sqref="M19"/>
    </sheetView>
  </sheetViews>
  <sheetFormatPr defaultColWidth="8.6640625" defaultRowHeight="14.4" x14ac:dyDescent="0.3"/>
  <cols>
    <col min="1" max="1" width="3" customWidth="1"/>
    <col min="2" max="2" width="33.88671875" customWidth="1"/>
    <col min="3" max="7" width="9.44140625" customWidth="1"/>
    <col min="8" max="8" width="15" customWidth="1"/>
    <col min="9" max="9" width="31" customWidth="1"/>
    <col min="10" max="10" width="3" customWidth="1"/>
  </cols>
  <sheetData>
    <row r="1" spans="1:9" ht="9.75" customHeight="1" x14ac:dyDescent="0.3">
      <c r="A1" s="200"/>
    </row>
    <row r="2" spans="1:9" ht="6" customHeight="1" x14ac:dyDescent="0.3"/>
    <row r="3" spans="1:9" ht="33.75" customHeight="1" x14ac:dyDescent="0.3">
      <c r="B3" s="162" t="s">
        <v>29</v>
      </c>
      <c r="C3" s="162"/>
      <c r="D3" s="162"/>
      <c r="E3" s="162"/>
      <c r="F3" s="162"/>
      <c r="G3" s="162"/>
      <c r="H3" s="162"/>
      <c r="I3" s="162"/>
    </row>
    <row r="4" spans="1:9" ht="19.5" customHeight="1" x14ac:dyDescent="0.3">
      <c r="B4" s="163" t="s">
        <v>30</v>
      </c>
      <c r="C4" s="163"/>
      <c r="D4" s="163"/>
      <c r="E4" s="163"/>
      <c r="F4" s="163"/>
      <c r="G4" s="163"/>
      <c r="H4" s="163"/>
      <c r="I4" s="163"/>
    </row>
    <row r="5" spans="1:9" ht="6" customHeight="1" x14ac:dyDescent="0.3"/>
    <row r="6" spans="1:9" ht="3.75" customHeight="1" x14ac:dyDescent="0.3">
      <c r="B6" s="11"/>
      <c r="C6" s="11"/>
      <c r="D6" s="11"/>
      <c r="E6" s="11"/>
      <c r="F6" s="11"/>
      <c r="G6" s="11"/>
      <c r="H6" s="11"/>
      <c r="I6" s="11"/>
    </row>
    <row r="7" spans="1:9" ht="12" customHeight="1" x14ac:dyDescent="0.3"/>
    <row r="8" spans="1:9" ht="21.75" customHeight="1" x14ac:dyDescent="0.3">
      <c r="B8" s="164" t="s">
        <v>31</v>
      </c>
      <c r="C8" s="164"/>
      <c r="D8" s="164"/>
      <c r="E8" s="164"/>
      <c r="F8" s="164"/>
      <c r="G8" s="164"/>
      <c r="H8" s="164"/>
      <c r="I8" s="164"/>
    </row>
    <row r="9" spans="1:9" ht="108.6" customHeight="1" x14ac:dyDescent="0.3">
      <c r="B9" s="165" t="s">
        <v>283</v>
      </c>
      <c r="C9" s="165"/>
      <c r="D9" s="165"/>
      <c r="E9" s="165"/>
      <c r="F9" s="165"/>
      <c r="G9" s="165"/>
      <c r="H9" s="165"/>
      <c r="I9" s="165"/>
    </row>
    <row r="11" spans="1:9" ht="21.75" customHeight="1" x14ac:dyDescent="0.3">
      <c r="B11" s="166" t="s">
        <v>32</v>
      </c>
      <c r="C11" s="166"/>
      <c r="D11" s="166"/>
      <c r="E11" s="166"/>
      <c r="F11" s="166"/>
      <c r="G11" s="166"/>
      <c r="H11" s="166"/>
      <c r="I11" s="166"/>
    </row>
    <row r="12" spans="1:9" ht="7.5" customHeight="1" x14ac:dyDescent="0.3"/>
    <row r="13" spans="1:9" ht="15.75" customHeight="1" x14ac:dyDescent="0.3">
      <c r="B13" s="167" t="s">
        <v>33</v>
      </c>
      <c r="C13" s="167"/>
      <c r="D13" s="167" t="s">
        <v>34</v>
      </c>
      <c r="E13" s="167"/>
      <c r="F13" s="167" t="s">
        <v>35</v>
      </c>
      <c r="G13" s="167"/>
      <c r="H13" s="167" t="s">
        <v>36</v>
      </c>
      <c r="I13" s="167"/>
    </row>
    <row r="14" spans="1:9" ht="27.75" customHeight="1" x14ac:dyDescent="0.3">
      <c r="B14" s="168">
        <f>'Profit &amp; Loss'!F4</f>
        <v>68821</v>
      </c>
      <c r="C14" s="168"/>
      <c r="D14" s="168">
        <f>'Profit &amp; Loss'!F21</f>
        <v>2970</v>
      </c>
      <c r="E14" s="168"/>
      <c r="F14" s="169">
        <f>'Ratio Analysis'!F10</f>
        <v>0.11540254895865713</v>
      </c>
      <c r="G14" s="169"/>
      <c r="H14" s="169">
        <f>'Ratio Analysis'!F11</f>
        <v>0.12140287769784172</v>
      </c>
      <c r="I14" s="169"/>
    </row>
    <row r="15" spans="1:9" ht="13.5" customHeight="1" x14ac:dyDescent="0.3">
      <c r="B15" s="170" t="str">
        <f>"FY22: "&amp;TEXT('Profit &amp; Loss'!B4,"#,##0")</f>
        <v>FY22: 30,976</v>
      </c>
      <c r="C15" s="170"/>
      <c r="D15" s="170" t="str">
        <f>"FY22: "&amp;TEXT('Profit &amp; Loss'!B21,"#,##0")</f>
        <v>FY22: 1,492</v>
      </c>
      <c r="E15" s="170"/>
      <c r="F15" s="171" t="str">
        <f>"FY22: "&amp;TEXT('Ratio Analysis'!B10,"0.0%")</f>
        <v>FY22: 10.5%</v>
      </c>
      <c r="G15" s="171"/>
      <c r="H15" s="171" t="str">
        <f>"FY22: "&amp;TEXT('Ratio Analysis'!B11,"0.0%")</f>
        <v>FY22: 10.9%</v>
      </c>
      <c r="I15" s="171"/>
    </row>
    <row r="17" spans="2:9" ht="21.75" customHeight="1" x14ac:dyDescent="0.3">
      <c r="B17" s="164" t="s">
        <v>37</v>
      </c>
      <c r="C17" s="164"/>
      <c r="D17" s="164"/>
      <c r="E17" s="164"/>
      <c r="F17" s="164"/>
      <c r="G17" s="164"/>
      <c r="H17" s="164"/>
      <c r="I17" s="164"/>
    </row>
    <row r="18" spans="2:9" ht="19.5" customHeight="1" x14ac:dyDescent="0.3">
      <c r="B18" s="16" t="s">
        <v>38</v>
      </c>
      <c r="C18" s="17" t="s">
        <v>39</v>
      </c>
      <c r="D18" s="17" t="s">
        <v>40</v>
      </c>
      <c r="E18" s="17" t="s">
        <v>41</v>
      </c>
      <c r="F18" s="17" t="s">
        <v>42</v>
      </c>
      <c r="G18" s="17" t="s">
        <v>43</v>
      </c>
      <c r="H18" s="201" t="s">
        <v>289</v>
      </c>
      <c r="I18" s="201"/>
    </row>
    <row r="19" spans="2:9" ht="19.5" customHeight="1" x14ac:dyDescent="0.3">
      <c r="B19" s="15" t="s">
        <v>44</v>
      </c>
      <c r="C19" s="18">
        <f>'Profit &amp; Loss'!B21/'Profit &amp; Loss'!B4</f>
        <v>4.8166322314049589E-2</v>
      </c>
      <c r="D19" s="18">
        <f>'Profit &amp; Loss'!C21/'Profit &amp; Loss'!C4</f>
        <v>5.5508870214752565E-2</v>
      </c>
      <c r="E19" s="18">
        <f>'Profit &amp; Loss'!D21/'Profit &amp; Loss'!D4</f>
        <v>4.993207190533383E-2</v>
      </c>
      <c r="F19" s="18">
        <f>'Profit &amp; Loss'!E21/'Profit &amp; Loss'!E4</f>
        <v>4.5604636274807105E-2</v>
      </c>
      <c r="G19" s="18">
        <f>'Profit &amp; Loss'!F21/'Profit &amp; Loss'!F4</f>
        <v>4.3155432208192269E-2</v>
      </c>
      <c r="H19" s="203" t="s">
        <v>287</v>
      </c>
      <c r="I19" s="203"/>
    </row>
    <row r="20" spans="2:9" ht="87.6" customHeight="1" x14ac:dyDescent="0.3">
      <c r="B20" s="15" t="s">
        <v>45</v>
      </c>
      <c r="C20" s="19">
        <f>'Profit &amp; Loss'!B4/'Balance Sheet'!B38</f>
        <v>2.0021976601383233</v>
      </c>
      <c r="D20" s="19">
        <f>'Profit &amp; Loss'!C4/'Balance Sheet'!C38</f>
        <v>2.3661971830985915</v>
      </c>
      <c r="E20" s="19">
        <f>'Profit &amp; Loss'!D4/'Balance Sheet'!D38</f>
        <v>2.3988758737955789</v>
      </c>
      <c r="F20" s="19">
        <f>'Profit &amp; Loss'!E4/'Balance Sheet'!E38</f>
        <v>2.4414099452967548</v>
      </c>
      <c r="G20" s="19">
        <f>'Profit &amp; Loss'!F4/'Balance Sheet'!F38</f>
        <v>2.3314926485534251</v>
      </c>
      <c r="H20" s="204" t="s">
        <v>286</v>
      </c>
      <c r="I20" s="204"/>
    </row>
    <row r="21" spans="2:9" ht="55.8" customHeight="1" x14ac:dyDescent="0.3">
      <c r="B21" s="15" t="s">
        <v>46</v>
      </c>
      <c r="C21" s="19">
        <f>'Ratio Analysis'!B44</f>
        <v>1.131086416142711</v>
      </c>
      <c r="D21" s="19">
        <f>'Ratio Analysis'!C44</f>
        <v>1.1260728946386367</v>
      </c>
      <c r="E21" s="19">
        <f>'Ratio Analysis'!D44</f>
        <v>1.1323136164295646</v>
      </c>
      <c r="F21" s="19">
        <f>'Ratio Analysis'!E44</f>
        <v>1.1346369236512974</v>
      </c>
      <c r="G21" s="19">
        <f>'Ratio Analysis'!F44</f>
        <v>1.2065892740353172</v>
      </c>
      <c r="H21" s="204" t="s">
        <v>288</v>
      </c>
      <c r="I21" s="204"/>
    </row>
    <row r="22" spans="2:9" ht="23.4" customHeight="1" x14ac:dyDescent="0.3">
      <c r="B22" s="20" t="s">
        <v>285</v>
      </c>
      <c r="C22" s="21">
        <f>C19*C20*C21</f>
        <v>0.10908027489399036</v>
      </c>
      <c r="D22" s="21">
        <f>D19*D20*D21</f>
        <v>0.14790396815524318</v>
      </c>
      <c r="E22" s="21">
        <f>E19*E20*E21</f>
        <v>0.13562947908867257</v>
      </c>
      <c r="F22" s="21">
        <f>F19*F20*F21</f>
        <v>0.12633003546761248</v>
      </c>
      <c r="G22" s="21">
        <f>G19*G20*G21</f>
        <v>0.12140287769784174</v>
      </c>
    </row>
    <row r="23" spans="2:9" ht="23.4" customHeight="1" x14ac:dyDescent="0.3">
      <c r="B23" s="198" t="s">
        <v>47</v>
      </c>
      <c r="C23" s="199">
        <f>'Ratio Analysis'!B11</f>
        <v>0.10908027489399034</v>
      </c>
      <c r="D23" s="199">
        <f>'Ratio Analysis'!C11</f>
        <v>0.14790396815524318</v>
      </c>
      <c r="E23" s="199">
        <f>'Ratio Analysis'!D11</f>
        <v>0.13562947908867259</v>
      </c>
      <c r="F23" s="199">
        <f>'Ratio Analysis'!E11</f>
        <v>0.12633003546761246</v>
      </c>
      <c r="G23" s="199">
        <f>'Ratio Analysis'!F11</f>
        <v>0.12140287769784172</v>
      </c>
    </row>
    <row r="25" spans="2:9" ht="21.75" customHeight="1" x14ac:dyDescent="0.3">
      <c r="B25" s="172" t="s">
        <v>48</v>
      </c>
      <c r="C25" s="172"/>
      <c r="D25" s="172"/>
      <c r="E25" s="172"/>
      <c r="F25" s="197" t="s">
        <v>49</v>
      </c>
      <c r="G25" s="197"/>
      <c r="H25" s="197"/>
      <c r="I25" s="197"/>
    </row>
    <row r="26" spans="2:9" ht="31.5" customHeight="1" x14ac:dyDescent="0.3">
      <c r="B26" s="173" t="s">
        <v>50</v>
      </c>
      <c r="C26" s="173"/>
      <c r="D26" s="173"/>
      <c r="E26" s="173"/>
      <c r="F26" s="174" t="s">
        <v>51</v>
      </c>
      <c r="G26" s="174"/>
      <c r="H26" s="174"/>
      <c r="I26" s="174"/>
    </row>
    <row r="27" spans="2:9" ht="31.5" customHeight="1" x14ac:dyDescent="0.3">
      <c r="B27" s="175" t="s">
        <v>52</v>
      </c>
      <c r="C27" s="175"/>
      <c r="D27" s="175"/>
      <c r="E27" s="175"/>
      <c r="F27" s="175" t="s">
        <v>53</v>
      </c>
      <c r="G27" s="175"/>
      <c r="H27" s="175"/>
      <c r="I27" s="175"/>
    </row>
    <row r="28" spans="2:9" ht="31.5" customHeight="1" x14ac:dyDescent="0.3">
      <c r="B28" s="173" t="s">
        <v>54</v>
      </c>
      <c r="C28" s="173"/>
      <c r="D28" s="173"/>
      <c r="E28" s="173"/>
      <c r="F28" s="174" t="s">
        <v>55</v>
      </c>
      <c r="G28" s="174"/>
      <c r="H28" s="174"/>
      <c r="I28" s="174"/>
    </row>
    <row r="29" spans="2:9" ht="31.5" customHeight="1" x14ac:dyDescent="0.3">
      <c r="B29" s="175" t="s">
        <v>56</v>
      </c>
      <c r="C29" s="175"/>
      <c r="D29" s="175"/>
      <c r="E29" s="175"/>
      <c r="F29" s="175" t="s">
        <v>57</v>
      </c>
      <c r="G29" s="175"/>
      <c r="H29" s="175"/>
      <c r="I29" s="175"/>
    </row>
    <row r="31" spans="2:9" ht="21.75" customHeight="1" x14ac:dyDescent="0.3">
      <c r="B31" s="164" t="s">
        <v>58</v>
      </c>
      <c r="C31" s="164"/>
      <c r="D31" s="164"/>
      <c r="E31" s="164"/>
      <c r="F31" s="164"/>
      <c r="G31" s="164"/>
      <c r="H31" s="164"/>
      <c r="I31" s="164"/>
    </row>
    <row r="32" spans="2:9" ht="45.75" customHeight="1" x14ac:dyDescent="0.3">
      <c r="B32" s="176" t="s">
        <v>59</v>
      </c>
      <c r="C32" s="176"/>
      <c r="D32" s="196" t="s">
        <v>284</v>
      </c>
      <c r="E32" s="177"/>
      <c r="F32" s="177"/>
      <c r="G32" s="177"/>
      <c r="H32" s="177"/>
      <c r="I32" s="177"/>
    </row>
    <row r="33" spans="2:9" ht="45.75" customHeight="1" x14ac:dyDescent="0.3">
      <c r="B33" s="178" t="s">
        <v>60</v>
      </c>
      <c r="C33" s="178"/>
      <c r="D33" s="179" t="s">
        <v>61</v>
      </c>
      <c r="E33" s="179"/>
      <c r="F33" s="179"/>
      <c r="G33" s="179"/>
      <c r="H33" s="179"/>
      <c r="I33" s="179"/>
    </row>
    <row r="34" spans="2:9" ht="45.75" customHeight="1" x14ac:dyDescent="0.3">
      <c r="B34" s="176" t="s">
        <v>62</v>
      </c>
      <c r="C34" s="176"/>
      <c r="D34" s="177" t="s">
        <v>63</v>
      </c>
      <c r="E34" s="177"/>
      <c r="F34" s="177"/>
      <c r="G34" s="177"/>
      <c r="H34" s="177"/>
      <c r="I34" s="177"/>
    </row>
    <row r="35" spans="2:9" ht="45.75" customHeight="1" x14ac:dyDescent="0.3">
      <c r="B35" s="178" t="s">
        <v>64</v>
      </c>
      <c r="C35" s="178"/>
      <c r="D35" s="179" t="s">
        <v>65</v>
      </c>
      <c r="E35" s="179"/>
      <c r="F35" s="179"/>
      <c r="G35" s="179"/>
      <c r="H35" s="179"/>
      <c r="I35" s="179"/>
    </row>
    <row r="37" spans="2:9" ht="36" customHeight="1" x14ac:dyDescent="0.3">
      <c r="B37" s="202" t="s">
        <v>66</v>
      </c>
      <c r="C37" s="202"/>
      <c r="D37" s="202"/>
      <c r="E37" s="202"/>
      <c r="F37" s="202"/>
      <c r="G37" s="202"/>
      <c r="H37" s="202"/>
      <c r="I37" s="202"/>
    </row>
    <row r="39" spans="2:9" ht="3.75" customHeight="1" x14ac:dyDescent="0.3">
      <c r="B39" s="161"/>
      <c r="C39" s="161"/>
      <c r="D39" s="161"/>
      <c r="E39" s="161"/>
      <c r="F39" s="161"/>
      <c r="G39" s="161"/>
      <c r="H39" s="161"/>
      <c r="I39" s="161"/>
    </row>
  </sheetData>
  <mergeCells count="44">
    <mergeCell ref="B39:I39"/>
    <mergeCell ref="H19:I19"/>
    <mergeCell ref="H20:I20"/>
    <mergeCell ref="H21:I21"/>
    <mergeCell ref="H18:I18"/>
    <mergeCell ref="B34:C34"/>
    <mergeCell ref="D34:I34"/>
    <mergeCell ref="B35:C35"/>
    <mergeCell ref="D35:I35"/>
    <mergeCell ref="B37:I37"/>
    <mergeCell ref="B31:I31"/>
    <mergeCell ref="B32:C32"/>
    <mergeCell ref="D32:I32"/>
    <mergeCell ref="B33:C33"/>
    <mergeCell ref="D33:I33"/>
    <mergeCell ref="B27:E27"/>
    <mergeCell ref="F27:I27"/>
    <mergeCell ref="B28:E28"/>
    <mergeCell ref="F28:I28"/>
    <mergeCell ref="B29:E29"/>
    <mergeCell ref="F29:I29"/>
    <mergeCell ref="B17:I17"/>
    <mergeCell ref="B25:E25"/>
    <mergeCell ref="F25:I25"/>
    <mergeCell ref="B26:E26"/>
    <mergeCell ref="F26:I26"/>
    <mergeCell ref="B14:C14"/>
    <mergeCell ref="D14:E14"/>
    <mergeCell ref="F14:G14"/>
    <mergeCell ref="H14:I14"/>
    <mergeCell ref="B15:C15"/>
    <mergeCell ref="D15:E15"/>
    <mergeCell ref="F15:G15"/>
    <mergeCell ref="H15:I15"/>
    <mergeCell ref="B11:I11"/>
    <mergeCell ref="B13:C13"/>
    <mergeCell ref="D13:E13"/>
    <mergeCell ref="F13:G13"/>
    <mergeCell ref="H13:I13"/>
    <mergeCell ref="B3:I3"/>
    <mergeCell ref="B4:I4"/>
    <mergeCell ref="B6:I6"/>
    <mergeCell ref="B8:I8"/>
    <mergeCell ref="B9:I9"/>
  </mergeCells>
  <pageMargins left="0.75" right="0.75" top="1" bottom="1" header="0.511811023622047" footer="0.511811023622047"/>
  <pageSetup paperSize="9" fitToHeight="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8D"/>
  </sheetPr>
  <dimension ref="A1:F45"/>
  <sheetViews>
    <sheetView showGridLines="0" topLeftCell="A9" zoomScaleNormal="100" workbookViewId="0">
      <selection activeCell="A29" sqref="A29:B29"/>
    </sheetView>
  </sheetViews>
  <sheetFormatPr defaultColWidth="8.5546875" defaultRowHeight="14.4" x14ac:dyDescent="0.3"/>
  <cols>
    <col min="1" max="1" width="40.77734375" customWidth="1"/>
    <col min="2" max="2" width="61.109375" customWidth="1"/>
    <col min="3" max="6" width="14.44140625" customWidth="1"/>
  </cols>
  <sheetData>
    <row r="1" spans="1:6" ht="30" customHeight="1" x14ac:dyDescent="0.3">
      <c r="A1" s="180" t="s">
        <v>67</v>
      </c>
      <c r="B1" s="180"/>
      <c r="C1" s="22"/>
      <c r="D1" s="22"/>
      <c r="E1" s="22"/>
      <c r="F1" s="22"/>
    </row>
    <row r="2" spans="1:6" ht="14.25" customHeight="1" x14ac:dyDescent="0.3">
      <c r="A2" s="23" t="s">
        <v>68</v>
      </c>
      <c r="B2" s="24">
        <v>44621</v>
      </c>
      <c r="C2" s="25"/>
      <c r="D2" s="25"/>
      <c r="E2" s="25"/>
      <c r="F2" s="25"/>
    </row>
    <row r="3" spans="1:6" ht="14.25" customHeight="1" x14ac:dyDescent="0.3">
      <c r="A3" s="26" t="s">
        <v>69</v>
      </c>
      <c r="B3" s="25" t="str">
        <f>"Sales - Direct expenses"</f>
        <v>Sales - Direct expenses</v>
      </c>
      <c r="C3" s="25"/>
      <c r="D3" s="25"/>
      <c r="E3" s="25"/>
      <c r="F3" s="25"/>
    </row>
    <row r="4" spans="1:6" ht="14.25" customHeight="1" x14ac:dyDescent="0.3">
      <c r="A4" s="27" t="s">
        <v>70</v>
      </c>
      <c r="B4" s="28">
        <v>44621</v>
      </c>
      <c r="C4" s="29">
        <v>44986</v>
      </c>
      <c r="D4" s="29">
        <v>45352</v>
      </c>
      <c r="E4" s="29">
        <v>45717</v>
      </c>
      <c r="F4" s="29">
        <v>46082</v>
      </c>
    </row>
    <row r="5" spans="1:6" ht="14.25" customHeight="1" x14ac:dyDescent="0.3">
      <c r="A5" s="26"/>
      <c r="B5" s="30">
        <f>'Balance Sheet'!B38-'Balance Sheet'!B15</f>
        <v>14253</v>
      </c>
      <c r="C5" s="30">
        <f>'Balance Sheet'!C38-'Balance Sheet'!C15</f>
        <v>16638</v>
      </c>
      <c r="D5" s="30">
        <f>'Balance Sheet'!D38-'Balance Sheet'!D15</f>
        <v>19193</v>
      </c>
      <c r="E5" s="30">
        <f>'Balance Sheet'!E38-'Balance Sheet'!E15</f>
        <v>22101</v>
      </c>
      <c r="F5" s="30">
        <f>'Balance Sheet'!F38-'Balance Sheet'!F15</f>
        <v>25736</v>
      </c>
    </row>
    <row r="6" spans="1:6" ht="34.5" customHeight="1" x14ac:dyDescent="0.3">
      <c r="A6" s="31" t="s">
        <v>71</v>
      </c>
      <c r="B6" s="181" t="s">
        <v>72</v>
      </c>
      <c r="C6" s="181"/>
      <c r="D6" s="181"/>
      <c r="E6" s="181"/>
      <c r="F6" s="181"/>
    </row>
    <row r="7" spans="1:6" ht="30.75" customHeight="1" x14ac:dyDescent="0.3">
      <c r="A7" s="31" t="s">
        <v>73</v>
      </c>
      <c r="B7" s="182" t="s">
        <v>74</v>
      </c>
      <c r="C7" s="182"/>
      <c r="D7" s="182"/>
      <c r="E7" s="182"/>
      <c r="F7" s="182"/>
    </row>
    <row r="8" spans="1:6" ht="14.25" customHeight="1" x14ac:dyDescent="0.3">
      <c r="A8" s="32"/>
      <c r="B8" s="25"/>
      <c r="C8" s="25"/>
      <c r="D8" s="25"/>
      <c r="E8" s="25"/>
      <c r="F8" s="25"/>
    </row>
    <row r="9" spans="1:6" ht="24" customHeight="1" x14ac:dyDescent="0.3">
      <c r="A9" s="183" t="s">
        <v>75</v>
      </c>
      <c r="B9" s="183"/>
      <c r="C9" s="33"/>
      <c r="D9" s="33"/>
      <c r="E9" s="33"/>
      <c r="F9" s="33"/>
    </row>
    <row r="10" spans="1:6" ht="26.25" customHeight="1" x14ac:dyDescent="0.3">
      <c r="A10" s="34" t="s">
        <v>9</v>
      </c>
      <c r="B10" s="35" t="s">
        <v>76</v>
      </c>
      <c r="C10" s="25"/>
      <c r="D10" s="25"/>
      <c r="E10" s="25"/>
      <c r="F10" s="25"/>
    </row>
    <row r="11" spans="1:6" ht="14.25" customHeight="1" x14ac:dyDescent="0.3">
      <c r="A11" s="34" t="s">
        <v>77</v>
      </c>
      <c r="B11" s="35" t="s">
        <v>78</v>
      </c>
      <c r="C11" s="25"/>
      <c r="D11" s="25"/>
      <c r="E11" s="25"/>
      <c r="F11" s="25"/>
    </row>
    <row r="12" spans="1:6" ht="14.25" customHeight="1" x14ac:dyDescent="0.3">
      <c r="A12" s="34" t="s">
        <v>79</v>
      </c>
      <c r="B12" s="35" t="s">
        <v>80</v>
      </c>
      <c r="C12" s="25"/>
      <c r="D12" s="25"/>
      <c r="E12" s="25"/>
      <c r="F12" s="25"/>
    </row>
    <row r="13" spans="1:6" ht="14.25" customHeight="1" x14ac:dyDescent="0.3">
      <c r="A13" s="34" t="s">
        <v>81</v>
      </c>
      <c r="B13" s="35" t="s">
        <v>82</v>
      </c>
      <c r="C13" s="25"/>
      <c r="D13" s="25"/>
      <c r="E13" s="25"/>
      <c r="F13" s="25"/>
    </row>
    <row r="14" spans="1:6" ht="14.25" customHeight="1" x14ac:dyDescent="0.3">
      <c r="A14" s="34" t="s">
        <v>83</v>
      </c>
      <c r="B14" s="35" t="s">
        <v>84</v>
      </c>
      <c r="C14" s="25"/>
      <c r="D14" s="25"/>
      <c r="E14" s="25"/>
      <c r="F14" s="25"/>
    </row>
    <row r="15" spans="1:6" ht="14.25" customHeight="1" x14ac:dyDescent="0.3">
      <c r="A15" s="34" t="s">
        <v>85</v>
      </c>
      <c r="B15" s="35" t="s">
        <v>86</v>
      </c>
      <c r="C15" s="25"/>
      <c r="D15" s="25"/>
      <c r="E15" s="25"/>
      <c r="F15" s="25"/>
    </row>
    <row r="16" spans="1:6" ht="26.25" customHeight="1" x14ac:dyDescent="0.3">
      <c r="A16" s="34" t="s">
        <v>35</v>
      </c>
      <c r="B16" s="35" t="s">
        <v>87</v>
      </c>
      <c r="C16" s="25"/>
      <c r="D16" s="25"/>
      <c r="E16" s="25"/>
      <c r="F16" s="25"/>
    </row>
    <row r="17" spans="1:6" ht="14.25" customHeight="1" x14ac:dyDescent="0.3">
      <c r="A17" s="34" t="s">
        <v>36</v>
      </c>
      <c r="B17" s="35" t="s">
        <v>88</v>
      </c>
      <c r="C17" s="25"/>
      <c r="D17" s="25"/>
      <c r="E17" s="25"/>
      <c r="F17" s="25"/>
    </row>
    <row r="18" spans="1:6" ht="14.25" customHeight="1" x14ac:dyDescent="0.3">
      <c r="A18" s="34" t="s">
        <v>89</v>
      </c>
      <c r="B18" s="35" t="s">
        <v>90</v>
      </c>
      <c r="C18" s="25"/>
      <c r="D18" s="25"/>
      <c r="E18" s="25"/>
      <c r="F18" s="25"/>
    </row>
    <row r="19" spans="1:6" ht="14.25" customHeight="1" x14ac:dyDescent="0.3">
      <c r="A19" s="34" t="s">
        <v>91</v>
      </c>
      <c r="B19" s="35" t="s">
        <v>92</v>
      </c>
      <c r="C19" s="25"/>
      <c r="D19" s="25"/>
      <c r="E19" s="25"/>
      <c r="F19" s="25"/>
    </row>
    <row r="20" spans="1:6" ht="14.25" customHeight="1" x14ac:dyDescent="0.3">
      <c r="A20" s="34" t="s">
        <v>93</v>
      </c>
      <c r="B20" s="35" t="s">
        <v>94</v>
      </c>
      <c r="C20" s="25"/>
      <c r="D20" s="25"/>
      <c r="E20" s="25"/>
      <c r="F20" s="25"/>
    </row>
    <row r="21" spans="1:6" ht="14.25" customHeight="1" x14ac:dyDescent="0.3">
      <c r="A21" s="34" t="s">
        <v>95</v>
      </c>
      <c r="B21" s="35" t="s">
        <v>96</v>
      </c>
      <c r="C21" s="25"/>
      <c r="D21" s="25"/>
      <c r="E21" s="25"/>
      <c r="F21" s="25"/>
    </row>
    <row r="22" spans="1:6" ht="14.25" customHeight="1" x14ac:dyDescent="0.3">
      <c r="A22" s="34" t="s">
        <v>97</v>
      </c>
      <c r="B22" s="35" t="s">
        <v>98</v>
      </c>
      <c r="C22" s="25"/>
      <c r="D22" s="25"/>
      <c r="E22" s="25"/>
      <c r="F22" s="25"/>
    </row>
    <row r="23" spans="1:6" ht="14.25" customHeight="1" x14ac:dyDescent="0.3">
      <c r="A23" s="34" t="s">
        <v>99</v>
      </c>
      <c r="B23" s="35" t="s">
        <v>100</v>
      </c>
      <c r="C23" s="25"/>
      <c r="D23" s="25"/>
      <c r="E23" s="25"/>
      <c r="F23" s="25"/>
    </row>
    <row r="24" spans="1:6" ht="14.25" customHeight="1" x14ac:dyDescent="0.3">
      <c r="A24" s="34" t="s">
        <v>101</v>
      </c>
      <c r="B24" s="35" t="s">
        <v>102</v>
      </c>
      <c r="C24" s="25"/>
      <c r="D24" s="25"/>
      <c r="E24" s="25"/>
      <c r="F24" s="25"/>
    </row>
    <row r="25" spans="1:6" ht="14.25" customHeight="1" x14ac:dyDescent="0.3">
      <c r="A25" s="34" t="s">
        <v>103</v>
      </c>
      <c r="B25" s="35" t="s">
        <v>104</v>
      </c>
      <c r="C25" s="25"/>
      <c r="D25" s="25"/>
      <c r="E25" s="25"/>
      <c r="F25" s="25"/>
    </row>
    <row r="26" spans="1:6" ht="14.25" customHeight="1" x14ac:dyDescent="0.3">
      <c r="A26" s="34" t="s">
        <v>105</v>
      </c>
      <c r="B26" s="35" t="s">
        <v>106</v>
      </c>
      <c r="C26" s="25"/>
      <c r="D26" s="25"/>
      <c r="E26" s="25"/>
      <c r="F26" s="25"/>
    </row>
    <row r="27" spans="1:6" ht="26.25" customHeight="1" x14ac:dyDescent="0.3">
      <c r="A27" s="34" t="s">
        <v>107</v>
      </c>
      <c r="B27" s="35" t="s">
        <v>108</v>
      </c>
      <c r="C27" s="25"/>
      <c r="D27" s="25"/>
      <c r="E27" s="25"/>
      <c r="F27" s="25"/>
    </row>
    <row r="28" spans="1:6" ht="14.25" customHeight="1" x14ac:dyDescent="0.3">
      <c r="A28" s="26"/>
      <c r="B28" s="36"/>
      <c r="C28" s="25"/>
      <c r="D28" s="25"/>
      <c r="E28" s="25"/>
      <c r="F28" s="25"/>
    </row>
    <row r="29" spans="1:6" ht="24" customHeight="1" x14ac:dyDescent="0.3">
      <c r="A29" s="183" t="s">
        <v>109</v>
      </c>
      <c r="B29" s="183"/>
      <c r="C29" s="33"/>
      <c r="D29" s="33"/>
      <c r="E29" s="33"/>
      <c r="F29" s="33"/>
    </row>
    <row r="30" spans="1:6" ht="14.25" customHeight="1" x14ac:dyDescent="0.3">
      <c r="A30" s="37" t="s">
        <v>110</v>
      </c>
      <c r="B30" s="38" t="s">
        <v>111</v>
      </c>
      <c r="C30" s="25"/>
      <c r="D30" s="25"/>
      <c r="E30" s="25"/>
      <c r="F30" s="25"/>
    </row>
    <row r="31" spans="1:6" ht="14.25" customHeight="1" x14ac:dyDescent="0.3">
      <c r="A31" s="37" t="s">
        <v>112</v>
      </c>
      <c r="B31" s="38" t="s">
        <v>113</v>
      </c>
      <c r="C31" s="25"/>
      <c r="D31" s="25"/>
      <c r="E31" s="25"/>
      <c r="F31" s="25"/>
    </row>
    <row r="32" spans="1:6" ht="14.25" customHeight="1" x14ac:dyDescent="0.3">
      <c r="A32" s="37" t="s">
        <v>114</v>
      </c>
      <c r="B32" s="38" t="s">
        <v>115</v>
      </c>
      <c r="C32" s="25"/>
      <c r="D32" s="25"/>
      <c r="E32" s="25"/>
      <c r="F32" s="25"/>
    </row>
    <row r="33" spans="1:6" ht="14.25" customHeight="1" x14ac:dyDescent="0.3">
      <c r="A33" s="37" t="s">
        <v>116</v>
      </c>
      <c r="B33" s="38" t="s">
        <v>117</v>
      </c>
      <c r="C33" s="25"/>
      <c r="D33" s="25"/>
      <c r="E33" s="25"/>
      <c r="F33" s="25"/>
    </row>
    <row r="34" spans="1:6" ht="14.25" customHeight="1" x14ac:dyDescent="0.3">
      <c r="A34" s="37" t="s">
        <v>118</v>
      </c>
      <c r="B34" s="38" t="s">
        <v>119</v>
      </c>
      <c r="C34" s="25"/>
      <c r="D34" s="25"/>
      <c r="E34" s="25"/>
      <c r="F34" s="25"/>
    </row>
    <row r="35" spans="1:6" ht="26.25" customHeight="1" x14ac:dyDescent="0.3">
      <c r="A35" s="37" t="s">
        <v>120</v>
      </c>
      <c r="B35" s="38" t="s">
        <v>121</v>
      </c>
      <c r="C35" s="25"/>
      <c r="D35" s="25"/>
      <c r="E35" s="25"/>
      <c r="F35" s="25"/>
    </row>
    <row r="36" spans="1:6" ht="14.25" customHeight="1" x14ac:dyDescent="0.3">
      <c r="A36" s="37" t="s">
        <v>122</v>
      </c>
      <c r="B36" s="38" t="s">
        <v>123</v>
      </c>
      <c r="C36" s="25"/>
      <c r="D36" s="25"/>
      <c r="E36" s="25"/>
      <c r="F36" s="25"/>
    </row>
    <row r="37" spans="1:6" ht="14.25" customHeight="1" x14ac:dyDescent="0.3">
      <c r="A37" s="37" t="s">
        <v>124</v>
      </c>
      <c r="B37" s="38" t="s">
        <v>125</v>
      </c>
      <c r="C37" s="25"/>
      <c r="D37" s="25"/>
      <c r="E37" s="25"/>
      <c r="F37" s="25"/>
    </row>
    <row r="38" spans="1:6" ht="14.25" customHeight="1" x14ac:dyDescent="0.3">
      <c r="A38" s="37" t="s">
        <v>126</v>
      </c>
      <c r="B38" s="38" t="s">
        <v>127</v>
      </c>
      <c r="C38" s="25"/>
      <c r="D38" s="25"/>
      <c r="E38" s="25"/>
      <c r="F38" s="25"/>
    </row>
    <row r="39" spans="1:6" ht="26.25" customHeight="1" x14ac:dyDescent="0.3">
      <c r="A39" s="37" t="s">
        <v>128</v>
      </c>
      <c r="B39" s="38" t="s">
        <v>129</v>
      </c>
      <c r="C39" s="25"/>
      <c r="D39" s="25"/>
      <c r="E39" s="25"/>
      <c r="F39" s="25"/>
    </row>
    <row r="40" spans="1:6" ht="39" customHeight="1" x14ac:dyDescent="0.3">
      <c r="A40" s="37" t="s">
        <v>130</v>
      </c>
      <c r="B40" s="38" t="s">
        <v>131</v>
      </c>
      <c r="C40" s="25"/>
      <c r="D40" s="25"/>
      <c r="E40" s="25"/>
      <c r="F40" s="25"/>
    </row>
    <row r="41" spans="1:6" ht="14.25" customHeight="1" x14ac:dyDescent="0.3">
      <c r="A41" s="37" t="s">
        <v>132</v>
      </c>
      <c r="B41" s="38" t="s">
        <v>133</v>
      </c>
      <c r="C41" s="25"/>
      <c r="D41" s="25"/>
      <c r="E41" s="25"/>
      <c r="F41" s="25"/>
    </row>
    <row r="42" spans="1:6" ht="14.25" customHeight="1" x14ac:dyDescent="0.3">
      <c r="A42" s="37" t="s">
        <v>134</v>
      </c>
      <c r="B42" s="38" t="s">
        <v>135</v>
      </c>
      <c r="C42" s="25"/>
      <c r="D42" s="25"/>
      <c r="E42" s="25"/>
      <c r="F42" s="25"/>
    </row>
    <row r="43" spans="1:6" ht="14.25" customHeight="1" x14ac:dyDescent="0.3">
      <c r="A43" s="37" t="s">
        <v>136</v>
      </c>
      <c r="B43" s="38" t="s">
        <v>137</v>
      </c>
      <c r="C43" s="25"/>
      <c r="D43" s="25"/>
      <c r="E43" s="25"/>
      <c r="F43" s="25"/>
    </row>
    <row r="44" spans="1:6" ht="14.25" customHeight="1" x14ac:dyDescent="0.3">
      <c r="A44" s="37" t="s">
        <v>138</v>
      </c>
      <c r="B44" s="38" t="s">
        <v>139</v>
      </c>
      <c r="C44" s="25"/>
      <c r="D44" s="25"/>
      <c r="E44" s="25"/>
      <c r="F44" s="25"/>
    </row>
    <row r="45" spans="1:6" ht="26.25" customHeight="1" x14ac:dyDescent="0.3">
      <c r="A45" s="31" t="s">
        <v>140</v>
      </c>
      <c r="B45" s="39" t="s">
        <v>141</v>
      </c>
      <c r="C45" s="25"/>
      <c r="D45" s="25"/>
      <c r="E45" s="25"/>
      <c r="F45" s="25"/>
    </row>
  </sheetData>
  <mergeCells count="5">
    <mergeCell ref="A1:B1"/>
    <mergeCell ref="B6:F6"/>
    <mergeCell ref="B7:F7"/>
    <mergeCell ref="A9:B9"/>
    <mergeCell ref="A29:B2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sheetPr>
  <dimension ref="A1:G67"/>
  <sheetViews>
    <sheetView showGridLines="0" zoomScale="115" zoomScaleNormal="115" workbookViewId="0">
      <selection activeCell="A22" sqref="A22"/>
    </sheetView>
  </sheetViews>
  <sheetFormatPr defaultColWidth="8.5546875" defaultRowHeight="14.4" x14ac:dyDescent="0.3"/>
  <cols>
    <col min="1" max="1" width="45.33203125" customWidth="1"/>
    <col min="2" max="6" width="15.21875" customWidth="1"/>
    <col min="7" max="7" width="48.21875" customWidth="1"/>
  </cols>
  <sheetData>
    <row r="1" spans="1:7" ht="30.75" customHeight="1" x14ac:dyDescent="0.3">
      <c r="A1" s="180" t="s">
        <v>142</v>
      </c>
      <c r="B1" s="180"/>
      <c r="C1" s="180"/>
      <c r="D1" s="180"/>
      <c r="E1" s="180"/>
      <c r="F1" s="180"/>
    </row>
    <row r="2" spans="1:7" s="41" customFormat="1" ht="21.75" customHeight="1" x14ac:dyDescent="0.3">
      <c r="A2" s="40" t="s">
        <v>143</v>
      </c>
      <c r="B2" s="28">
        <v>44621</v>
      </c>
      <c r="C2" s="28">
        <v>44986</v>
      </c>
      <c r="D2" s="28">
        <v>45352</v>
      </c>
      <c r="E2" s="28">
        <v>45717</v>
      </c>
      <c r="F2" s="28">
        <v>46082</v>
      </c>
    </row>
    <row r="3" spans="1:7" ht="42.75" customHeight="1" x14ac:dyDescent="0.3">
      <c r="A3" s="32" t="s">
        <v>144</v>
      </c>
      <c r="B3" s="42" t="s">
        <v>145</v>
      </c>
      <c r="C3" s="42">
        <f>('Profit &amp; Loss'!C4-'Profit &amp; Loss'!B4)/'Profit &amp; Loss'!B4</f>
        <v>0.38300619834710742</v>
      </c>
      <c r="D3" s="42">
        <f>('Profit &amp; Loss'!D4-'Profit &amp; Loss'!C4)/'Profit &amp; Loss'!C4</f>
        <v>0.18555088702147526</v>
      </c>
      <c r="E3" s="42">
        <f>('Profit &amp; Loss'!E4-'Profit &amp; Loss'!D4)/'Profit &amp; Loss'!D4</f>
        <v>0.16871763570851955</v>
      </c>
      <c r="F3" s="42">
        <f>('Profit &amp; Loss'!F4-'Profit &amp; Loss'!E4)/'Profit &amp; Loss'!E4</f>
        <v>0.15942248728056876</v>
      </c>
      <c r="G3" s="43"/>
    </row>
    <row r="4" spans="1:7" ht="19.5" customHeight="1" x14ac:dyDescent="0.3">
      <c r="A4" s="32" t="s">
        <v>81</v>
      </c>
      <c r="B4" s="42">
        <f>'Profit &amp; Loss'!B9/'Profit &amp; Loss'!B4</f>
        <v>0.1477918388429752</v>
      </c>
      <c r="C4" s="42">
        <f>'Profit &amp; Loss'!C9/'Profit &amp; Loss'!C4</f>
        <v>0.15070028011204481</v>
      </c>
      <c r="D4" s="42">
        <f>'Profit &amp; Loss'!D9/'Profit &amp; Loss'!D4</f>
        <v>0.14796511055543524</v>
      </c>
      <c r="E4" s="42">
        <f>'Profit &amp; Loss'!E9/'Profit &amp; Loss'!E4</f>
        <v>0.14835405505576332</v>
      </c>
      <c r="F4" s="42">
        <f>'Profit &amp; Loss'!F9/'Profit &amp; Loss'!F4</f>
        <v>0.15054997747780474</v>
      </c>
    </row>
    <row r="5" spans="1:7" ht="19.5" customHeight="1" x14ac:dyDescent="0.3">
      <c r="A5" s="32" t="s">
        <v>83</v>
      </c>
      <c r="B5" s="42">
        <f>'Profit &amp; Loss'!B13/'Profit &amp; Loss'!B4</f>
        <v>8.0772210743801656E-2</v>
      </c>
      <c r="C5" s="42">
        <f>'Profit &amp; Loss'!C13/'Profit &amp; Loss'!C4</f>
        <v>8.4943977591036418E-2</v>
      </c>
      <c r="D5" s="42">
        <f>'Profit &amp; Loss'!D13/'Profit &amp; Loss'!D4</f>
        <v>8.0844277304140663E-2</v>
      </c>
      <c r="E5" s="42">
        <f>'Profit &amp; Loss'!E13/'Profit &amp; Loss'!E4</f>
        <v>7.5726944977930519E-2</v>
      </c>
      <c r="F5" s="42">
        <f>'Profit &amp; Loss'!F13/'Profit &amp; Loss'!F4</f>
        <v>7.5398497551619412E-2</v>
      </c>
    </row>
    <row r="6" spans="1:7" ht="19.5" customHeight="1" x14ac:dyDescent="0.3">
      <c r="A6" s="32"/>
      <c r="B6" s="42"/>
      <c r="C6" s="42"/>
      <c r="D6" s="42"/>
      <c r="E6" s="42"/>
      <c r="F6" s="42"/>
    </row>
    <row r="7" spans="1:7" ht="19.5" customHeight="1" x14ac:dyDescent="0.3">
      <c r="A7" s="32"/>
      <c r="B7" s="42"/>
      <c r="C7" s="42"/>
      <c r="D7" s="42"/>
      <c r="E7" s="42"/>
      <c r="F7" s="42"/>
    </row>
    <row r="8" spans="1:7" ht="19.5" customHeight="1" x14ac:dyDescent="0.3">
      <c r="A8" s="180" t="s">
        <v>146</v>
      </c>
      <c r="B8" s="180"/>
      <c r="C8" s="180"/>
      <c r="D8" s="180"/>
      <c r="E8" s="180"/>
      <c r="F8" s="180"/>
    </row>
    <row r="9" spans="1:7" ht="21.75" customHeight="1" x14ac:dyDescent="0.3">
      <c r="A9" s="40" t="s">
        <v>147</v>
      </c>
      <c r="B9" s="44" t="s">
        <v>148</v>
      </c>
      <c r="C9" s="44" t="s">
        <v>149</v>
      </c>
      <c r="D9" s="44" t="s">
        <v>150</v>
      </c>
      <c r="E9" s="44" t="s">
        <v>151</v>
      </c>
      <c r="F9" s="44" t="s">
        <v>152</v>
      </c>
    </row>
    <row r="10" spans="1:7" ht="19.5" customHeight="1" x14ac:dyDescent="0.3">
      <c r="A10" s="32" t="s">
        <v>35</v>
      </c>
      <c r="B10" s="42">
        <f>'Profit &amp; Loss'!B21/Assumption!B5</f>
        <v>0.10467971655090157</v>
      </c>
      <c r="C10" s="42">
        <f>'Profit &amp; Loss'!C21/Assumption!C5</f>
        <v>0.14292583243178267</v>
      </c>
      <c r="D10" s="42">
        <f>'Profit &amp; Loss'!D21/Assumption!D5</f>
        <v>0.13213150627833065</v>
      </c>
      <c r="E10" s="42">
        <f>'Profit &amp; Loss'!E21/Assumption!E5</f>
        <v>0.12248314555902448</v>
      </c>
      <c r="F10" s="42">
        <f>'Profit &amp; Loss'!F21/Assumption!F5</f>
        <v>0.11540254895865713</v>
      </c>
    </row>
    <row r="11" spans="1:7" ht="19.5" customHeight="1" x14ac:dyDescent="0.3">
      <c r="A11" s="32" t="s">
        <v>36</v>
      </c>
      <c r="B11" s="42">
        <f>'Profit &amp; Loss'!B21/('Balance Sheet'!B4+'Balance Sheet'!B5)</f>
        <v>0.10908027489399034</v>
      </c>
      <c r="C11" s="42">
        <f>'Profit &amp; Loss'!C21/('Balance Sheet'!C4+'Balance Sheet'!C5)</f>
        <v>0.14790396815524318</v>
      </c>
      <c r="D11" s="42">
        <f>'Profit &amp; Loss'!D21/('Balance Sheet'!D4+'Balance Sheet'!D5)</f>
        <v>0.13562947908867259</v>
      </c>
      <c r="E11" s="42">
        <f>'Profit &amp; Loss'!E21/('Balance Sheet'!E4+'Balance Sheet'!E5)</f>
        <v>0.12633003546761246</v>
      </c>
      <c r="F11" s="42">
        <f>'Profit &amp; Loss'!F21/('Balance Sheet'!F4+'Balance Sheet'!F5)</f>
        <v>0.12140287769784172</v>
      </c>
    </row>
    <row r="12" spans="1:7" ht="19.5" customHeight="1" x14ac:dyDescent="0.3">
      <c r="A12" s="32" t="s">
        <v>85</v>
      </c>
      <c r="B12" s="42">
        <f>'Profit &amp; Loss'!B21/'Profit &amp; Loss'!B4</f>
        <v>4.8166322314049589E-2</v>
      </c>
      <c r="C12" s="42">
        <f>'Profit &amp; Loss'!C21/'Profit &amp; Loss'!C4</f>
        <v>5.5508870214752565E-2</v>
      </c>
      <c r="D12" s="42">
        <f>'Profit &amp; Loss'!D21/'Profit &amp; Loss'!D4</f>
        <v>4.993207190533383E-2</v>
      </c>
      <c r="E12" s="42">
        <f>'Profit &amp; Loss'!E21/'Profit &amp; Loss'!E4</f>
        <v>4.5604636274807105E-2</v>
      </c>
      <c r="F12" s="42">
        <f>'Profit &amp; Loss'!F21/'Profit &amp; Loss'!F4</f>
        <v>4.3155432208192269E-2</v>
      </c>
    </row>
    <row r="13" spans="1:7" ht="19.5" customHeight="1" x14ac:dyDescent="0.3">
      <c r="A13" s="32"/>
      <c r="B13" s="42"/>
      <c r="C13" s="42"/>
      <c r="D13" s="42"/>
      <c r="E13" s="42"/>
      <c r="F13" s="42"/>
    </row>
    <row r="14" spans="1:7" ht="19.5" customHeight="1" x14ac:dyDescent="0.3">
      <c r="A14" s="32"/>
      <c r="B14" s="42"/>
      <c r="C14" s="42"/>
      <c r="D14" s="42"/>
      <c r="E14" s="42"/>
      <c r="F14" s="42"/>
    </row>
    <row r="15" spans="1:7" ht="19.5" customHeight="1" x14ac:dyDescent="0.3">
      <c r="A15" s="180" t="s">
        <v>153</v>
      </c>
      <c r="B15" s="180"/>
      <c r="C15" s="180"/>
      <c r="D15" s="180"/>
      <c r="E15" s="180"/>
      <c r="F15" s="180"/>
    </row>
    <row r="16" spans="1:7" ht="21.75" customHeight="1" x14ac:dyDescent="0.3">
      <c r="A16" s="40" t="s">
        <v>154</v>
      </c>
      <c r="B16" s="45">
        <v>44621</v>
      </c>
      <c r="C16" s="45">
        <v>44986</v>
      </c>
      <c r="D16" s="45">
        <v>45352</v>
      </c>
      <c r="E16" s="45">
        <v>45717</v>
      </c>
      <c r="F16" s="45">
        <v>46082</v>
      </c>
    </row>
    <row r="17" spans="1:6" ht="19.5" customHeight="1" x14ac:dyDescent="0.3">
      <c r="A17" s="32" t="s">
        <v>89</v>
      </c>
      <c r="B17" s="46">
        <f>'Balance Sheet'!B37/'Balance Sheet'!B15</f>
        <v>2.8267651888341545</v>
      </c>
      <c r="C17" s="46">
        <f>'Balance Sheet'!C37/'Balance Sheet'!C15</f>
        <v>3.7137014314928427</v>
      </c>
      <c r="D17" s="46">
        <f>'Balance Sheet'!D37/'Balance Sheet'!D15</f>
        <v>3.1339060131379486</v>
      </c>
      <c r="E17" s="46">
        <f>'Balance Sheet'!E37/'Balance Sheet'!E15</f>
        <v>2.8896925858951175</v>
      </c>
      <c r="F17" s="46">
        <f>'Balance Sheet'!F37/'Balance Sheet'!F15</f>
        <v>1.977260708619778</v>
      </c>
    </row>
    <row r="18" spans="1:6" ht="19.5" customHeight="1" x14ac:dyDescent="0.3">
      <c r="A18" s="32" t="s">
        <v>91</v>
      </c>
      <c r="B18" s="46">
        <f>('Balance Sheet'!B38-'Balance Sheet'!B31)/'Balance Sheet'!B15</f>
        <v>8.5344827586206904</v>
      </c>
      <c r="C18" s="46">
        <f>('Balance Sheet'!C38-'Balance Sheet'!C31)/'Balance Sheet'!C15</f>
        <v>8.4335378323108383</v>
      </c>
      <c r="D18" s="46">
        <f>('Balance Sheet'!D38-'Balance Sheet'!D31)/'Balance Sheet'!D15</f>
        <v>7.3046993431025768</v>
      </c>
      <c r="E18" s="46">
        <f>('Balance Sheet'!E38-'Balance Sheet'!E31)/'Balance Sheet'!E15</f>
        <v>7.8250452079566006</v>
      </c>
      <c r="F18" s="46">
        <f>('Balance Sheet'!F38-'Balance Sheet'!F31)/'Balance Sheet'!F15</f>
        <v>5.6570597567424645</v>
      </c>
    </row>
    <row r="19" spans="1:6" ht="19.5" customHeight="1" x14ac:dyDescent="0.3">
      <c r="A19" s="32" t="s">
        <v>93</v>
      </c>
      <c r="B19" s="46">
        <f>'Balance Sheet'!B34 / 'Balance Sheet'!B15</f>
        <v>0.24548440065681446</v>
      </c>
      <c r="C19" s="46">
        <f>'Balance Sheet'!C34 / 'Balance Sheet'!C15</f>
        <v>0.95978186775732788</v>
      </c>
      <c r="D19" s="46">
        <f>'Balance Sheet'!D34 / 'Balance Sheet'!D15</f>
        <v>0.32238504295098536</v>
      </c>
      <c r="E19" s="46">
        <f>'Balance Sheet'!E34 / 'Balance Sheet'!E15</f>
        <v>0.16184448462929477</v>
      </c>
      <c r="F19" s="46">
        <f>'Balance Sheet'!F34 / 'Balance Sheet'!F15</f>
        <v>8.0380750925436284E-2</v>
      </c>
    </row>
    <row r="20" spans="1:6" ht="19.5" customHeight="1" x14ac:dyDescent="0.3">
      <c r="A20" s="32"/>
      <c r="B20" s="25"/>
      <c r="C20" s="25"/>
      <c r="D20" s="25"/>
      <c r="E20" s="25"/>
      <c r="F20" s="25"/>
    </row>
    <row r="21" spans="1:6" ht="19.5" customHeight="1" x14ac:dyDescent="0.3">
      <c r="A21" s="180" t="s">
        <v>155</v>
      </c>
      <c r="B21" s="180"/>
      <c r="C21" s="180"/>
      <c r="D21" s="180"/>
      <c r="E21" s="180"/>
      <c r="F21" s="180"/>
    </row>
    <row r="22" spans="1:6" ht="21.75" customHeight="1" x14ac:dyDescent="0.3">
      <c r="A22" s="40" t="s">
        <v>156</v>
      </c>
      <c r="B22" s="44" t="s">
        <v>148</v>
      </c>
      <c r="C22" s="44" t="s">
        <v>149</v>
      </c>
      <c r="D22" s="44" t="s">
        <v>150</v>
      </c>
      <c r="E22" s="44" t="s">
        <v>151</v>
      </c>
      <c r="F22" s="44" t="s">
        <v>152</v>
      </c>
    </row>
    <row r="23" spans="1:6" ht="19.5" customHeight="1" x14ac:dyDescent="0.3">
      <c r="A23" s="47" t="s">
        <v>95</v>
      </c>
      <c r="B23" s="25" t="s">
        <v>145</v>
      </c>
      <c r="C23" s="48">
        <f>'Profit &amp; Loss'!C5/AVERAGE('Balance Sheet'!B32,'Balance Sheet'!C32)</f>
        <v>13.097560975609756</v>
      </c>
      <c r="D23" s="48">
        <f>'Profit &amp; Loss'!D5/AVERAGE('Balance Sheet'!C32,'Balance Sheet'!D32)</f>
        <v>13.021757322175732</v>
      </c>
      <c r="E23" s="48">
        <f>'Profit &amp; Loss'!E5/AVERAGE('Balance Sheet'!D32,'Balance Sheet'!E32)</f>
        <v>12.231412328614423</v>
      </c>
      <c r="F23" s="48">
        <f>'Profit &amp; Loss'!F5/AVERAGE('Balance Sheet'!E32,'Balance Sheet'!F32)</f>
        <v>11.627592507994517</v>
      </c>
    </row>
    <row r="24" spans="1:6" ht="19.5" customHeight="1" x14ac:dyDescent="0.3">
      <c r="A24" s="47" t="s">
        <v>97</v>
      </c>
      <c r="B24" s="49" t="s">
        <v>145</v>
      </c>
      <c r="C24" s="50">
        <f>ROUNDUP((365/C23),0)</f>
        <v>28</v>
      </c>
      <c r="D24" s="50">
        <f>ROUNDUP((365/D23),0)</f>
        <v>29</v>
      </c>
      <c r="E24" s="50">
        <f>ROUNDUP((365/E23),0)</f>
        <v>30</v>
      </c>
      <c r="F24" s="50">
        <f>ROUNDUP((365/F23),0)</f>
        <v>32</v>
      </c>
    </row>
    <row r="25" spans="1:6" ht="19.5" customHeight="1" x14ac:dyDescent="0.3">
      <c r="A25" s="47" t="s">
        <v>99</v>
      </c>
      <c r="B25" s="49" t="s">
        <v>145</v>
      </c>
      <c r="C25" s="46">
        <f>'Profit &amp; Loss'!C4/AVERAGE('Balance Sheet'!B33,'Balance Sheet'!C33)</f>
        <v>664.18604651162786</v>
      </c>
      <c r="D25" s="46">
        <f>'Profit &amp; Loss'!D4/AVERAGE('Balance Sheet'!C33,'Balance Sheet'!D33)</f>
        <v>445.51754385964909</v>
      </c>
      <c r="E25" s="46">
        <f>'Profit &amp; Loss'!E4/AVERAGE('Balance Sheet'!D33,'Balance Sheet'!E33)</f>
        <v>370.98750000000001</v>
      </c>
      <c r="F25" s="46">
        <f>'Profit &amp; Loss'!F4/AVERAGE('Balance Sheet'!E33,'Balance Sheet'!F33)</f>
        <v>454.26402640264024</v>
      </c>
    </row>
    <row r="26" spans="1:6" ht="19.5" customHeight="1" x14ac:dyDescent="0.3">
      <c r="A26" s="47" t="s">
        <v>101</v>
      </c>
      <c r="B26" s="49" t="s">
        <v>145</v>
      </c>
      <c r="C26" s="46">
        <f>'Profit &amp; Loss'!C5/AVERAGE('Balance Sheet'!B13:C13)</f>
        <v>58.378257632166793</v>
      </c>
      <c r="D26" s="46">
        <f>'Profit &amp; Loss'!D5/AVERAGE('Balance Sheet'!C13:D13)</f>
        <v>53.689476710753304</v>
      </c>
      <c r="E26" s="46">
        <f>'Profit &amp; Loss'!E5/AVERAGE('Balance Sheet'!D13:E13)</f>
        <v>53.369649805447473</v>
      </c>
      <c r="F26" s="46">
        <f>'Profit &amp; Loss'!F5/AVERAGE('Balance Sheet'!E13:F13)</f>
        <v>52.828559568285598</v>
      </c>
    </row>
    <row r="27" spans="1:6" ht="19.5" customHeight="1" x14ac:dyDescent="0.3">
      <c r="A27" s="47" t="s">
        <v>103</v>
      </c>
      <c r="B27" s="49" t="s">
        <v>145</v>
      </c>
      <c r="C27" s="50">
        <f>ROUNDUP((365/C26),0)</f>
        <v>7</v>
      </c>
      <c r="D27" s="50">
        <f>ROUNDUP((365/D26),0)</f>
        <v>7</v>
      </c>
      <c r="E27" s="50">
        <f>ROUNDUP((365/E26),0)</f>
        <v>7</v>
      </c>
      <c r="F27" s="50">
        <f>ROUNDUP((365/F26),0)</f>
        <v>7</v>
      </c>
    </row>
    <row r="28" spans="1:6" ht="19.5" customHeight="1" x14ac:dyDescent="0.3">
      <c r="A28" s="47" t="s">
        <v>105</v>
      </c>
      <c r="B28" s="49" t="s">
        <v>145</v>
      </c>
      <c r="C28" s="46">
        <f>'Profit &amp; Loss'!C4/AVERAGE('Balance Sheet'!B38,'Balance Sheet'!C38)</f>
        <v>2.5518227305218013</v>
      </c>
      <c r="D28" s="46">
        <f>'Profit &amp; Loss'!D4/AVERAGE('Balance Sheet'!C38,'Balance Sheet'!D38)</f>
        <v>2.586195483361764</v>
      </c>
      <c r="E28" s="46">
        <f>'Profit &amp; Loss'!E4/AVERAGE('Balance Sheet'!D38,'Balance Sheet'!E38)</f>
        <v>2.6100032977904806</v>
      </c>
      <c r="F28" s="46">
        <f>'Profit &amp; Loss'!F4/AVERAGE('Balance Sheet'!E38,'Balance Sheet'!F38)</f>
        <v>2.5569281640690309</v>
      </c>
    </row>
    <row r="29" spans="1:6" ht="19.5" customHeight="1" x14ac:dyDescent="0.3">
      <c r="A29" s="23"/>
      <c r="B29" s="49"/>
      <c r="C29" s="51"/>
      <c r="D29" s="51"/>
      <c r="E29" s="51"/>
      <c r="F29" s="51"/>
    </row>
    <row r="30" spans="1:6" ht="19.5" customHeight="1" x14ac:dyDescent="0.3">
      <c r="A30" s="32"/>
      <c r="B30" s="25"/>
      <c r="C30" s="25"/>
      <c r="D30" s="25"/>
      <c r="E30" s="25"/>
      <c r="F30" s="25"/>
    </row>
    <row r="31" spans="1:6" ht="24" customHeight="1" x14ac:dyDescent="0.3">
      <c r="A31" s="184" t="s">
        <v>157</v>
      </c>
      <c r="B31" s="184"/>
      <c r="C31" s="184"/>
      <c r="D31" s="184"/>
      <c r="E31" s="184"/>
      <c r="F31" s="184"/>
    </row>
    <row r="32" spans="1:6" ht="21.75" customHeight="1" x14ac:dyDescent="0.3">
      <c r="A32" s="52" t="s">
        <v>158</v>
      </c>
      <c r="B32" s="45">
        <v>44621</v>
      </c>
      <c r="C32" s="45">
        <v>44986</v>
      </c>
      <c r="D32" s="45">
        <v>45352</v>
      </c>
      <c r="E32" s="45">
        <v>45717</v>
      </c>
      <c r="F32" s="45">
        <v>46082</v>
      </c>
    </row>
    <row r="33" spans="1:6" ht="19.5" customHeight="1" x14ac:dyDescent="0.3">
      <c r="A33" s="53" t="s">
        <v>159</v>
      </c>
      <c r="B33" s="54">
        <f>'Cashflow Statement'!B38</f>
        <v>3990</v>
      </c>
      <c r="C33" s="54">
        <f>'Cashflow Statement'!C38</f>
        <v>3835</v>
      </c>
      <c r="D33" s="54">
        <f>'Cashflow Statement'!D38</f>
        <v>8902</v>
      </c>
      <c r="E33" s="54">
        <f>'Cashflow Statement'!E38</f>
        <v>10800</v>
      </c>
      <c r="F33" s="54">
        <f>'Cashflow Statement'!F38</f>
        <v>10749</v>
      </c>
    </row>
    <row r="34" spans="1:6" ht="19.5" customHeight="1" x14ac:dyDescent="0.3">
      <c r="A34" s="53" t="s">
        <v>160</v>
      </c>
      <c r="B34" s="55">
        <f>500</f>
        <v>500</v>
      </c>
      <c r="C34" s="55">
        <f>500</f>
        <v>500</v>
      </c>
      <c r="D34" s="55">
        <f>500</f>
        <v>500</v>
      </c>
      <c r="E34" s="55">
        <f>500</f>
        <v>500</v>
      </c>
      <c r="F34" s="55">
        <f>500</f>
        <v>500</v>
      </c>
    </row>
    <row r="35" spans="1:6" ht="19.5" customHeight="1" x14ac:dyDescent="0.3">
      <c r="A35" s="53" t="s">
        <v>161</v>
      </c>
      <c r="B35" s="56">
        <v>4.1200000000000001E-2</v>
      </c>
      <c r="C35" s="56">
        <v>6.4799999999999996E-2</v>
      </c>
      <c r="D35" s="56">
        <v>6.6199999999999995E-2</v>
      </c>
      <c r="E35" s="56">
        <v>6.6500000000000004E-2</v>
      </c>
      <c r="F35" s="56">
        <v>6.0699999999999997E-2</v>
      </c>
    </row>
    <row r="36" spans="1:6" ht="19.5" customHeight="1" x14ac:dyDescent="0.3">
      <c r="A36" s="57" t="s">
        <v>162</v>
      </c>
      <c r="B36" s="58">
        <f>SQRT((2*B33*(B34/10000000))/B35)</f>
        <v>3.111987470960877</v>
      </c>
      <c r="C36" s="58">
        <f>SQRT((2*C33*(C34/10000000))/C35)</f>
        <v>2.4327371162012574</v>
      </c>
      <c r="D36" s="58">
        <f>SQRT((2*D33*(D34/10000000))/D35)</f>
        <v>3.6670328481437902</v>
      </c>
      <c r="E36" s="58">
        <f>SQRT((2*E33*(E34/10000000))/E35)</f>
        <v>4.0299629655568054</v>
      </c>
      <c r="F36" s="58">
        <f>SQRT((2*F33*(F34/10000000))/F35)</f>
        <v>4.2081352137182746</v>
      </c>
    </row>
    <row r="37" spans="1:6" ht="19.5" customHeight="1" x14ac:dyDescent="0.3">
      <c r="A37" s="59" t="s">
        <v>163</v>
      </c>
      <c r="B37" s="60">
        <f>B33/B36</f>
        <v>1282.1388380358815</v>
      </c>
      <c r="C37" s="60">
        <f>C33/C36</f>
        <v>1576.4136512984146</v>
      </c>
      <c r="D37" s="60">
        <f>D33/D36</f>
        <v>2427.5757454711893</v>
      </c>
      <c r="E37" s="60">
        <f>E33/E36</f>
        <v>2679.9253720952752</v>
      </c>
      <c r="F37" s="60">
        <f>F33/F36</f>
        <v>2554.338074726993</v>
      </c>
    </row>
    <row r="38" spans="1:6" ht="19.5" customHeight="1" x14ac:dyDescent="0.3">
      <c r="A38" s="59" t="s">
        <v>164</v>
      </c>
      <c r="B38" s="61">
        <f>B36/2</f>
        <v>1.5559937354804385</v>
      </c>
      <c r="C38" s="61">
        <f>C36/2</f>
        <v>1.2163685581006287</v>
      </c>
      <c r="D38" s="61">
        <f>D36/2</f>
        <v>1.8335164240718951</v>
      </c>
      <c r="E38" s="61">
        <f>E36/2</f>
        <v>2.0149814827784027</v>
      </c>
      <c r="F38" s="61">
        <f>F36/2</f>
        <v>2.1040676068591373</v>
      </c>
    </row>
    <row r="39" spans="1:6" ht="19.5" customHeight="1" x14ac:dyDescent="0.3">
      <c r="A39" s="32"/>
      <c r="B39" s="62"/>
      <c r="C39" s="49"/>
      <c r="D39" s="25"/>
      <c r="E39" s="25"/>
      <c r="F39" s="25"/>
    </row>
    <row r="40" spans="1:6" ht="24" customHeight="1" x14ac:dyDescent="0.3">
      <c r="A40" s="184" t="s">
        <v>165</v>
      </c>
      <c r="B40" s="184"/>
      <c r="C40" s="184"/>
      <c r="D40" s="184"/>
      <c r="E40" s="184"/>
      <c r="F40" s="184"/>
    </row>
    <row r="41" spans="1:6" ht="21.75" customHeight="1" x14ac:dyDescent="0.3">
      <c r="A41" s="52" t="s">
        <v>166</v>
      </c>
      <c r="B41" s="45">
        <v>44621</v>
      </c>
      <c r="C41" s="45">
        <v>44986</v>
      </c>
      <c r="D41" s="45">
        <v>45352</v>
      </c>
      <c r="E41" s="45">
        <v>45717</v>
      </c>
      <c r="F41" s="45">
        <v>46082</v>
      </c>
    </row>
    <row r="42" spans="1:6" ht="19.5" customHeight="1" x14ac:dyDescent="0.3">
      <c r="A42" s="47" t="s">
        <v>110</v>
      </c>
      <c r="B42" s="63">
        <f>'Balance Sheet'!B6/('Balance Sheet'!B4+'Balance Sheet'!B5)</f>
        <v>4.7302237169176781E-2</v>
      </c>
      <c r="C42" s="63">
        <f>'Balance Sheet'!C6/('Balance Sheet'!C4+'Balance Sheet'!C5)</f>
        <v>3.9992536385122526E-2</v>
      </c>
      <c r="D42" s="63">
        <f>'Balance Sheet'!D6/('Balance Sheet'!D4+'Balance Sheet'!D5)</f>
        <v>3.1661140228901485E-2</v>
      </c>
      <c r="E42" s="64">
        <f>'Balance Sheet'!E6/('Balance Sheet'!E4+'Balance Sheet'!E5)</f>
        <v>3.8267687138323687E-2</v>
      </c>
      <c r="F42" s="63">
        <f>'Balance Sheet'!F6/('Balance Sheet'!F4+'Balance Sheet'!F5)</f>
        <v>9.9125245258338782E-2</v>
      </c>
    </row>
    <row r="43" spans="1:6" ht="19.5" customHeight="1" x14ac:dyDescent="0.3">
      <c r="A43" s="47" t="s">
        <v>112</v>
      </c>
      <c r="B43" s="63">
        <f>'Balance Sheet'!B6/'Balance Sheet'!B38</f>
        <v>4.1820179691034839E-2</v>
      </c>
      <c r="C43" s="63">
        <f>'Balance Sheet'!C6/'Balance Sheet'!C38</f>
        <v>3.5515051090858882E-2</v>
      </c>
      <c r="D43" s="63">
        <f>'Balance Sheet'!D6/'Balance Sheet'!D38</f>
        <v>2.796145853013414E-2</v>
      </c>
      <c r="E43" s="64">
        <f>'Balance Sheet'!E6/'Balance Sheet'!E38</f>
        <v>3.3726812816188868E-2</v>
      </c>
      <c r="F43" s="63">
        <f>'Balance Sheet'!F6/'Balance Sheet'!F38</f>
        <v>8.2153262416152853E-2</v>
      </c>
    </row>
    <row r="44" spans="1:6" ht="19.5" customHeight="1" x14ac:dyDescent="0.3">
      <c r="A44" s="47" t="s">
        <v>114</v>
      </c>
      <c r="B44" s="63">
        <f>'Balance Sheet'!B38/('Balance Sheet'!B4+'Balance Sheet'!B5)</f>
        <v>1.131086416142711</v>
      </c>
      <c r="C44" s="63">
        <f>'Balance Sheet'!C38/('Balance Sheet'!C4+'Balance Sheet'!C5)</f>
        <v>1.1260728946386367</v>
      </c>
      <c r="D44" s="63">
        <f>'Balance Sheet'!D38/('Balance Sheet'!D4+'Balance Sheet'!D5)</f>
        <v>1.1323136164295646</v>
      </c>
      <c r="E44" s="64">
        <f>'Balance Sheet'!E38/('Balance Sheet'!E4+'Balance Sheet'!E5)</f>
        <v>1.1346369236512974</v>
      </c>
      <c r="F44" s="63">
        <f>'Balance Sheet'!F38/('Balance Sheet'!F4+'Balance Sheet'!F5)</f>
        <v>1.2065892740353172</v>
      </c>
    </row>
    <row r="45" spans="1:6" ht="19.5" customHeight="1" x14ac:dyDescent="0.3">
      <c r="A45" s="65" t="s">
        <v>116</v>
      </c>
      <c r="B45" s="66">
        <f>('Profit &amp; Loss'!B19+'Profit &amp; Loss'!B17)/'Profit &amp; Loss'!B17</f>
        <v>39.222222222222221</v>
      </c>
      <c r="C45" s="66">
        <f>('Profit &amp; Loss'!C19+'Profit &amp; Loss'!C17)/'Profit &amp; Loss'!C17</f>
        <v>46.671641791044777</v>
      </c>
      <c r="D45" s="66">
        <f>('Profit &amp; Loss'!D19+'Profit &amp; Loss'!D17)/'Profit &amp; Loss'!D17</f>
        <v>60.672413793103445</v>
      </c>
      <c r="E45" s="67">
        <f>('Profit &amp; Loss'!E19+'Profit &amp; Loss'!E17)/'Profit &amp; Loss'!E17</f>
        <v>54.231884057971016</v>
      </c>
      <c r="F45" s="66">
        <f>('Profit &amp; Loss'!F19+'Profit &amp; Loss'!F17)/'Profit &amp; Loss'!F17</f>
        <v>29.746478873239436</v>
      </c>
    </row>
    <row r="46" spans="1:6" ht="19.5" customHeight="1" x14ac:dyDescent="0.3">
      <c r="A46" s="47" t="s">
        <v>118</v>
      </c>
      <c r="B46" s="63">
        <f>'Balance Sheet'!B16/('Balance Sheet'!B4+'Balance Sheet'!B5)</f>
        <v>1.131086416142711</v>
      </c>
      <c r="C46" s="63">
        <f>'Balance Sheet'!C16/('Balance Sheet'!C4+'Balance Sheet'!C5)</f>
        <v>1.1260728946386367</v>
      </c>
      <c r="D46" s="63">
        <f>'Balance Sheet'!D16/('Balance Sheet'!D4+'Balance Sheet'!D5)</f>
        <v>1.1323136164295646</v>
      </c>
      <c r="E46" s="63">
        <f>'Balance Sheet'!E16/('Balance Sheet'!E4+'Balance Sheet'!E5)</f>
        <v>1.1346369236512974</v>
      </c>
      <c r="F46" s="63">
        <f>'Balance Sheet'!F16/('Balance Sheet'!F4+'Balance Sheet'!F5)</f>
        <v>1.2065892740353172</v>
      </c>
    </row>
    <row r="47" spans="1:6" ht="19.5" customHeight="1" x14ac:dyDescent="0.3">
      <c r="A47" s="32"/>
      <c r="B47" s="25"/>
      <c r="C47" s="25"/>
      <c r="D47" s="25"/>
      <c r="E47" s="25"/>
      <c r="F47" s="25"/>
    </row>
    <row r="48" spans="1:6" ht="24" customHeight="1" x14ac:dyDescent="0.3">
      <c r="A48" s="184" t="s">
        <v>167</v>
      </c>
      <c r="B48" s="184"/>
      <c r="C48" s="184"/>
      <c r="D48" s="184"/>
      <c r="E48" s="184"/>
      <c r="F48" s="184"/>
    </row>
    <row r="49" spans="1:6" ht="21.75" customHeight="1" x14ac:dyDescent="0.3">
      <c r="A49" s="52" t="s">
        <v>168</v>
      </c>
      <c r="B49" s="45">
        <v>44621</v>
      </c>
      <c r="C49" s="45">
        <v>44986</v>
      </c>
      <c r="D49" s="45">
        <v>45352</v>
      </c>
      <c r="E49" s="45">
        <v>45717</v>
      </c>
      <c r="F49" s="45">
        <v>46082</v>
      </c>
    </row>
    <row r="50" spans="1:6" ht="19.5" customHeight="1" x14ac:dyDescent="0.3">
      <c r="A50" s="65" t="s">
        <v>120</v>
      </c>
      <c r="B50" s="66">
        <f>'Profit &amp; Loss'!B4/('Balance Sheet'!B37-'Balance Sheet'!B15)</f>
        <v>13.921797752808988</v>
      </c>
      <c r="C50" s="66">
        <f>'Profit &amp; Loss'!C4/('Balance Sheet'!C37-'Balance Sheet'!C15)</f>
        <v>10.761115297663904</v>
      </c>
      <c r="D50" s="66">
        <f>'Profit &amp; Loss'!D4/('Balance Sheet'!D37-'Balance Sheet'!D15)</f>
        <v>12.026758228747337</v>
      </c>
      <c r="E50" s="66">
        <f>'Profit &amp; Loss'!E4/('Balance Sheet'!E37-'Balance Sheet'!E15)</f>
        <v>14.200478468899522</v>
      </c>
      <c r="F50" s="66">
        <f>'Profit &amp; Loss'!F4/('Balance Sheet'!F37-'Balance Sheet'!F15)</f>
        <v>18.620400432900432</v>
      </c>
    </row>
    <row r="51" spans="1:6" ht="19.5" customHeight="1" x14ac:dyDescent="0.3">
      <c r="A51" s="47" t="s">
        <v>122</v>
      </c>
      <c r="B51" s="63">
        <f>'Profit &amp; Loss'!B4/'Balance Sheet'!B17</f>
        <v>3.3451403887688986</v>
      </c>
      <c r="C51" s="63">
        <f>'Profit &amp; Loss'!C4/'Balance Sheet'!C17</f>
        <v>3.7777777777777777</v>
      </c>
      <c r="D51" s="63">
        <f>'Profit &amp; Loss'!D4/'Balance Sheet'!D17</f>
        <v>3.7859858367499069</v>
      </c>
      <c r="E51" s="63">
        <f>'Profit &amp; Loss'!E4/'Balance Sheet'!E17</f>
        <v>3.6627175120325806</v>
      </c>
      <c r="F51" s="63">
        <f>'Profit &amp; Loss'!F4/'Balance Sheet'!F17</f>
        <v>3.4256346441015428</v>
      </c>
    </row>
    <row r="52" spans="1:6" ht="19.5" customHeight="1" x14ac:dyDescent="0.3">
      <c r="A52" s="47" t="s">
        <v>124</v>
      </c>
      <c r="B52" s="50" t="s">
        <v>145</v>
      </c>
      <c r="C52" s="50">
        <f>ROUNDUP((365/C25),0)</f>
        <v>1</v>
      </c>
      <c r="D52" s="50">
        <f>ROUNDUP((365/D25),0)</f>
        <v>1</v>
      </c>
      <c r="E52" s="50">
        <f>ROUNDUP((365/E25),0)</f>
        <v>1</v>
      </c>
      <c r="F52" s="50">
        <f>ROUNDUP((365/F25),0)</f>
        <v>1</v>
      </c>
    </row>
    <row r="53" spans="1:6" ht="19.5" customHeight="1" x14ac:dyDescent="0.3">
      <c r="A53" s="65" t="s">
        <v>169</v>
      </c>
      <c r="B53" s="68" t="s">
        <v>145</v>
      </c>
      <c r="C53" s="69">
        <f>C24+C52-C27</f>
        <v>22</v>
      </c>
      <c r="D53" s="69">
        <f>D24+D52-D27</f>
        <v>23</v>
      </c>
      <c r="E53" s="69">
        <f>E24+E52-E27</f>
        <v>24</v>
      </c>
      <c r="F53" s="69">
        <f>F24+F52-F27</f>
        <v>26</v>
      </c>
    </row>
    <row r="54" spans="1:6" ht="19.5" customHeight="1" x14ac:dyDescent="0.3">
      <c r="A54" s="32"/>
      <c r="B54" s="25"/>
      <c r="C54" s="25"/>
      <c r="D54" s="25"/>
      <c r="E54" s="25"/>
      <c r="F54" s="25"/>
    </row>
    <row r="55" spans="1:6" ht="24" customHeight="1" x14ac:dyDescent="0.3">
      <c r="A55" s="184" t="s">
        <v>170</v>
      </c>
      <c r="B55" s="184"/>
      <c r="C55" s="184"/>
      <c r="D55" s="184"/>
      <c r="E55" s="184"/>
      <c r="F55" s="184"/>
    </row>
    <row r="56" spans="1:6" ht="21.75" customHeight="1" x14ac:dyDescent="0.3">
      <c r="A56" s="52" t="s">
        <v>171</v>
      </c>
      <c r="B56" s="45">
        <v>44621</v>
      </c>
      <c r="C56" s="45">
        <v>44986</v>
      </c>
      <c r="D56" s="45">
        <v>45352</v>
      </c>
      <c r="E56" s="45">
        <v>45717</v>
      </c>
      <c r="F56" s="45">
        <v>46082</v>
      </c>
    </row>
    <row r="57" spans="1:6" ht="19.5" customHeight="1" x14ac:dyDescent="0.3">
      <c r="A57" s="57" t="s">
        <v>172</v>
      </c>
      <c r="B57" s="70">
        <f>'Profit &amp; Loss'!B19+'Profit &amp; Loss'!B17</f>
        <v>2118</v>
      </c>
      <c r="C57" s="70">
        <f>'Profit &amp; Loss'!C19+'Profit &amp; Loss'!C17</f>
        <v>3127</v>
      </c>
      <c r="D57" s="70">
        <f>'Profit &amp; Loss'!D19+'Profit &amp; Loss'!D17</f>
        <v>3519</v>
      </c>
      <c r="E57" s="70">
        <f>'Profit &amp; Loss'!E19+'Profit &amp; Loss'!E17</f>
        <v>3742</v>
      </c>
      <c r="F57" s="70">
        <f>'Profit &amp; Loss'!F19+'Profit &amp; Loss'!F17</f>
        <v>4224</v>
      </c>
    </row>
    <row r="58" spans="1:6" ht="19.5" customHeight="1" x14ac:dyDescent="0.3">
      <c r="A58" s="53" t="s">
        <v>130</v>
      </c>
      <c r="B58" s="71" t="s">
        <v>145</v>
      </c>
      <c r="C58" s="72">
        <f>((C57-B57)/B57)/(('Profit &amp; Loss'!C4-'Profit &amp; Loss'!B4)/'Profit &amp; Loss'!B4)</f>
        <v>1.2438253622897721</v>
      </c>
      <c r="D58" s="72">
        <f>((D57-C57)/C57)/(('Profit &amp; Loss'!D4-'Profit &amp; Loss'!C4)/'Profit &amp; Loss'!C4)</f>
        <v>0.67560857164133525</v>
      </c>
      <c r="E58" s="72">
        <f>((E57-D57)/D57)/(('Profit &amp; Loss'!E4-'Profit &amp; Loss'!D4)/'Profit &amp; Loss'!D4)</f>
        <v>0.37559959502971235</v>
      </c>
      <c r="F58" s="72">
        <f>((F57-E57)/E57)/(('Profit &amp; Loss'!F4-'Profit &amp; Loss'!E4)/'Profit &amp; Loss'!E4)</f>
        <v>0.80796709545229817</v>
      </c>
    </row>
    <row r="59" spans="1:6" ht="19.5" customHeight="1" x14ac:dyDescent="0.3">
      <c r="A59" s="53" t="s">
        <v>132</v>
      </c>
      <c r="B59" s="72">
        <f>B57/'Profit &amp; Loss'!B19</f>
        <v>1.0261627906976745</v>
      </c>
      <c r="C59" s="72">
        <f>C57/'Profit &amp; Loss'!C19</f>
        <v>1.0218954248366012</v>
      </c>
      <c r="D59" s="72">
        <f>D57/'Profit &amp; Loss'!D19</f>
        <v>1.0167581623808148</v>
      </c>
      <c r="E59" s="72">
        <f>E57/'Profit &amp; Loss'!E19</f>
        <v>1.0187857337326436</v>
      </c>
      <c r="F59" s="72">
        <f>F57/'Profit &amp; Loss'!F19</f>
        <v>1.0347868691817736</v>
      </c>
    </row>
    <row r="60" spans="1:6" ht="19.5" customHeight="1" x14ac:dyDescent="0.3">
      <c r="A60" s="53" t="s">
        <v>134</v>
      </c>
      <c r="B60" s="71" t="s">
        <v>145</v>
      </c>
      <c r="C60" s="72">
        <f>C58*C59</f>
        <v>1.2710594470196461</v>
      </c>
      <c r="D60" s="72">
        <f>D58*D59</f>
        <v>0.68693052979077118</v>
      </c>
      <c r="E60" s="72">
        <f>E58*E59</f>
        <v>0.38265550901202927</v>
      </c>
      <c r="F60" s="72">
        <f>F58*F59</f>
        <v>0.8360737411049749</v>
      </c>
    </row>
    <row r="61" spans="1:6" ht="19.5" customHeight="1" x14ac:dyDescent="0.3">
      <c r="A61" s="32"/>
      <c r="B61" s="25"/>
      <c r="C61" s="25"/>
      <c r="D61" s="25"/>
      <c r="E61" s="25"/>
      <c r="F61" s="25"/>
    </row>
    <row r="62" spans="1:6" ht="24" customHeight="1" x14ac:dyDescent="0.3">
      <c r="A62" s="184" t="s">
        <v>173</v>
      </c>
      <c r="B62" s="184"/>
      <c r="C62" s="184"/>
      <c r="D62" s="184"/>
      <c r="E62" s="184"/>
      <c r="F62" s="184"/>
    </row>
    <row r="63" spans="1:6" ht="21.75" customHeight="1" x14ac:dyDescent="0.3">
      <c r="A63" s="52" t="s">
        <v>174</v>
      </c>
      <c r="B63" s="45">
        <v>44621</v>
      </c>
      <c r="C63" s="45">
        <v>44986</v>
      </c>
      <c r="D63" s="45">
        <v>45352</v>
      </c>
      <c r="E63" s="45">
        <v>45717</v>
      </c>
      <c r="F63" s="45">
        <v>46082</v>
      </c>
    </row>
    <row r="64" spans="1:6" ht="19.5" customHeight="1" x14ac:dyDescent="0.3">
      <c r="A64" s="59" t="s">
        <v>136</v>
      </c>
      <c r="B64" s="73">
        <f>'Balance Sheet'!B37-'Balance Sheet'!B15</f>
        <v>2225</v>
      </c>
      <c r="C64" s="73">
        <f>'Balance Sheet'!C37-'Balance Sheet'!C15</f>
        <v>3981</v>
      </c>
      <c r="D64" s="73">
        <f>'Balance Sheet'!D37-'Balance Sheet'!D15</f>
        <v>4223</v>
      </c>
      <c r="E64" s="73">
        <f>'Balance Sheet'!E37-'Balance Sheet'!E15</f>
        <v>4180</v>
      </c>
      <c r="F64" s="73">
        <f>'Balance Sheet'!F37-'Balance Sheet'!F15</f>
        <v>3696</v>
      </c>
    </row>
    <row r="65" spans="1:6" ht="19.5" customHeight="1" x14ac:dyDescent="0.3">
      <c r="A65" s="74" t="s">
        <v>138</v>
      </c>
      <c r="B65" s="75">
        <f>'Profit &amp; Loss'!B13/B64</f>
        <v>1.124494382022472</v>
      </c>
      <c r="C65" s="75">
        <f>'Profit &amp; Loss'!C13/C64</f>
        <v>0.91409193669932176</v>
      </c>
      <c r="D65" s="75">
        <f>'Profit &amp; Loss'!D13/D64</f>
        <v>0.97229457731470514</v>
      </c>
      <c r="E65" s="75">
        <f>'Profit &amp; Loss'!E13/E64</f>
        <v>1.0753588516746411</v>
      </c>
      <c r="F65" s="75">
        <f>'Profit &amp; Loss'!F13/F64</f>
        <v>1.4039502164502164</v>
      </c>
    </row>
    <row r="66" spans="1:6" ht="42" customHeight="1" x14ac:dyDescent="0.3">
      <c r="A66" s="76" t="s">
        <v>175</v>
      </c>
      <c r="B66" s="185" t="s">
        <v>176</v>
      </c>
      <c r="C66" s="185"/>
      <c r="D66" s="185"/>
      <c r="E66" s="185"/>
      <c r="F66" s="185"/>
    </row>
    <row r="67" spans="1:6" ht="14.25" customHeight="1" x14ac:dyDescent="0.3">
      <c r="B67" s="186"/>
      <c r="C67" s="186"/>
      <c r="D67" s="186"/>
      <c r="E67" s="186"/>
      <c r="F67" s="186"/>
    </row>
  </sheetData>
  <mergeCells count="11">
    <mergeCell ref="B67:F67"/>
    <mergeCell ref="A40:F40"/>
    <mergeCell ref="A48:F48"/>
    <mergeCell ref="A55:F55"/>
    <mergeCell ref="A62:F62"/>
    <mergeCell ref="B66:F66"/>
    <mergeCell ref="A1:F1"/>
    <mergeCell ref="A8:F8"/>
    <mergeCell ref="A15:F15"/>
    <mergeCell ref="A21:F21"/>
    <mergeCell ref="A31:F31"/>
  </mergeCells>
  <conditionalFormatting sqref="B3">
    <cfRule type="iconSet" priority="2">
      <iconSet iconSet="3Arrows">
        <cfvo type="percent" val="0"/>
        <cfvo type="percent" val="33"/>
        <cfvo type="percent" val="67"/>
      </iconSet>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N50"/>
  <sheetViews>
    <sheetView topLeftCell="A49" zoomScaleNormal="100" workbookViewId="0">
      <selection activeCell="I66" sqref="I66"/>
    </sheetView>
  </sheetViews>
  <sheetFormatPr defaultColWidth="8.6640625" defaultRowHeight="14.4" x14ac:dyDescent="0.3"/>
  <cols>
    <col min="1" max="1" width="34.21875" customWidth="1"/>
    <col min="2" max="2" width="38" customWidth="1"/>
    <col min="3" max="6" width="12.21875" customWidth="1"/>
    <col min="7" max="14" width="10" customWidth="1"/>
  </cols>
  <sheetData>
    <row r="1" spans="1:14" ht="30" customHeight="1" x14ac:dyDescent="0.3">
      <c r="A1" s="187" t="s">
        <v>177</v>
      </c>
      <c r="B1" s="187"/>
      <c r="C1" s="187"/>
      <c r="D1" s="187"/>
      <c r="E1" s="187"/>
      <c r="F1" s="187"/>
      <c r="G1" s="187"/>
      <c r="H1" s="187"/>
      <c r="I1" s="187"/>
      <c r="J1" s="187"/>
      <c r="K1" s="187"/>
      <c r="L1" s="187"/>
      <c r="M1" s="187"/>
      <c r="N1" s="187"/>
    </row>
    <row r="2" spans="1:14" ht="51.75" customHeight="1" x14ac:dyDescent="0.3">
      <c r="A2" s="188" t="s">
        <v>178</v>
      </c>
      <c r="B2" s="188"/>
      <c r="C2" s="188"/>
      <c r="D2" s="188"/>
      <c r="E2" s="188"/>
      <c r="F2" s="188"/>
      <c r="G2" s="188"/>
      <c r="H2" s="188"/>
      <c r="I2" s="188"/>
      <c r="J2" s="188"/>
      <c r="K2" s="188"/>
      <c r="L2" s="188"/>
      <c r="M2" s="188"/>
      <c r="N2" s="188"/>
    </row>
    <row r="3" spans="1:14" ht="9" customHeight="1" x14ac:dyDescent="0.3">
      <c r="A3" s="77"/>
      <c r="B3" s="77"/>
      <c r="C3" s="77"/>
      <c r="D3" s="77"/>
      <c r="E3" s="77"/>
      <c r="F3" s="77"/>
      <c r="G3" s="77"/>
      <c r="H3" s="77"/>
      <c r="I3" s="77"/>
      <c r="J3" s="77"/>
      <c r="K3" s="77"/>
      <c r="L3" s="77"/>
      <c r="M3" s="77"/>
      <c r="N3" s="77"/>
    </row>
    <row r="4" spans="1:14" ht="30" customHeight="1" x14ac:dyDescent="0.3">
      <c r="A4" s="78" t="s">
        <v>179</v>
      </c>
      <c r="B4" s="78" t="s">
        <v>180</v>
      </c>
      <c r="C4" s="77"/>
      <c r="D4" s="77"/>
      <c r="E4" s="77"/>
      <c r="F4" s="77"/>
      <c r="G4" s="77"/>
      <c r="H4" s="77"/>
      <c r="I4" s="77"/>
      <c r="J4" s="77"/>
      <c r="K4" s="77"/>
      <c r="L4" s="77"/>
      <c r="M4" s="77"/>
      <c r="N4" s="77"/>
    </row>
    <row r="5" spans="1:14" ht="28.5" customHeight="1" x14ac:dyDescent="0.3">
      <c r="A5" s="79">
        <v>2022</v>
      </c>
      <c r="B5" s="80">
        <f>AVERAGE(0.8,1)</f>
        <v>0.9</v>
      </c>
      <c r="C5" s="81"/>
      <c r="D5" s="81"/>
      <c r="E5" s="82"/>
      <c r="F5" s="82"/>
      <c r="G5" s="82"/>
      <c r="H5" s="82"/>
      <c r="I5" s="82"/>
      <c r="J5" s="82"/>
      <c r="K5" s="82"/>
      <c r="L5" s="82"/>
      <c r="M5" s="82"/>
      <c r="N5" s="82"/>
    </row>
    <row r="6" spans="1:14" ht="28.5" customHeight="1" x14ac:dyDescent="0.3">
      <c r="A6" s="83">
        <v>2023</v>
      </c>
      <c r="B6" s="84">
        <f>AVERAGE(1.4,1.7)</f>
        <v>1.5499999999999998</v>
      </c>
      <c r="C6" s="85"/>
      <c r="D6" s="85"/>
      <c r="E6" s="82"/>
      <c r="F6" s="82"/>
      <c r="G6" s="82"/>
      <c r="H6" s="82"/>
      <c r="I6" s="82"/>
      <c r="J6" s="82"/>
      <c r="K6" s="82"/>
      <c r="L6" s="82"/>
      <c r="M6" s="82"/>
      <c r="N6" s="82"/>
    </row>
    <row r="7" spans="1:14" ht="28.5" customHeight="1" x14ac:dyDescent="0.3">
      <c r="A7" s="83">
        <v>2024</v>
      </c>
      <c r="B7" s="84">
        <f>AVERAGE(2.4,2.6)</f>
        <v>2.5</v>
      </c>
      <c r="C7" s="85"/>
      <c r="D7" s="85"/>
      <c r="E7" s="82"/>
      <c r="F7" s="82"/>
      <c r="G7" s="82"/>
      <c r="H7" s="82"/>
      <c r="I7" s="82"/>
      <c r="J7" s="82"/>
      <c r="K7" s="82"/>
      <c r="L7" s="82"/>
      <c r="M7" s="82"/>
      <c r="N7" s="82"/>
    </row>
    <row r="8" spans="1:14" ht="28.5" customHeight="1" x14ac:dyDescent="0.3">
      <c r="A8" s="83">
        <v>2025</v>
      </c>
      <c r="B8" s="84">
        <f>AVERAGE(3.2,3.6)</f>
        <v>3.4000000000000004</v>
      </c>
      <c r="C8" s="85"/>
      <c r="D8" s="85"/>
      <c r="E8" s="82"/>
      <c r="F8" s="82"/>
      <c r="G8" s="82"/>
      <c r="H8" s="82"/>
      <c r="I8" s="82"/>
      <c r="J8" s="82"/>
      <c r="K8" s="82"/>
      <c r="L8" s="82"/>
      <c r="M8" s="82"/>
      <c r="N8" s="82"/>
    </row>
    <row r="9" spans="1:14" ht="28.5" customHeight="1" x14ac:dyDescent="0.3">
      <c r="A9" s="86">
        <v>2026</v>
      </c>
      <c r="B9" s="87">
        <f>AVERAGE(4,4.5)</f>
        <v>4.25</v>
      </c>
      <c r="C9" s="85"/>
      <c r="D9" s="85"/>
      <c r="E9" s="82"/>
      <c r="F9" s="82"/>
      <c r="G9" s="82"/>
      <c r="H9" s="82"/>
      <c r="I9" s="82"/>
      <c r="J9" s="82"/>
      <c r="K9" s="82"/>
      <c r="L9" s="82"/>
      <c r="M9" s="82"/>
      <c r="N9" s="82"/>
    </row>
    <row r="10" spans="1:14" ht="9" customHeight="1" x14ac:dyDescent="0.3">
      <c r="A10" s="82"/>
      <c r="B10" s="82"/>
      <c r="C10" s="85"/>
      <c r="D10" s="82"/>
      <c r="E10" s="82"/>
      <c r="F10" s="82"/>
      <c r="G10" s="82"/>
      <c r="H10" s="82"/>
      <c r="I10" s="82"/>
      <c r="J10" s="82"/>
      <c r="K10" s="82"/>
      <c r="L10" s="82"/>
      <c r="M10" s="82"/>
      <c r="N10" s="82"/>
    </row>
    <row r="11" spans="1:14" ht="30" customHeight="1" x14ac:dyDescent="0.3">
      <c r="A11" s="189" t="s">
        <v>181</v>
      </c>
      <c r="B11" s="189"/>
      <c r="C11" s="189"/>
      <c r="D11" s="189"/>
      <c r="E11" s="189"/>
      <c r="F11" s="189"/>
      <c r="G11" s="189"/>
      <c r="H11" s="189"/>
      <c r="I11" s="189"/>
      <c r="J11" s="189"/>
      <c r="K11" s="189"/>
      <c r="L11" s="189"/>
      <c r="M11" s="189"/>
      <c r="N11" s="189"/>
    </row>
    <row r="12" spans="1:14" ht="9" customHeight="1" x14ac:dyDescent="0.3">
      <c r="A12" s="82"/>
      <c r="B12" s="82"/>
      <c r="C12" s="82"/>
      <c r="D12" s="82"/>
      <c r="E12" s="82"/>
      <c r="F12" s="82"/>
      <c r="G12" s="82"/>
      <c r="H12" s="82"/>
      <c r="I12" s="82"/>
      <c r="J12" s="82"/>
      <c r="K12" s="82"/>
      <c r="L12" s="82"/>
      <c r="M12" s="82"/>
      <c r="N12" s="82"/>
    </row>
    <row r="13" spans="1:14" ht="45.75" customHeight="1" x14ac:dyDescent="0.3">
      <c r="A13" s="188" t="s">
        <v>290</v>
      </c>
      <c r="B13" s="188"/>
      <c r="C13" s="188"/>
      <c r="D13" s="188"/>
      <c r="E13" s="188"/>
      <c r="F13" s="188"/>
      <c r="G13" s="188"/>
      <c r="H13" s="188"/>
      <c r="I13" s="188"/>
      <c r="J13" s="188"/>
      <c r="K13" s="188"/>
      <c r="L13" s="188"/>
      <c r="M13" s="188"/>
      <c r="N13" s="188"/>
    </row>
    <row r="14" spans="1:14" ht="9" customHeight="1" x14ac:dyDescent="0.3">
      <c r="A14" s="82"/>
      <c r="B14" s="82"/>
      <c r="C14" s="82"/>
      <c r="D14" s="82"/>
      <c r="E14" s="82"/>
      <c r="F14" s="82"/>
      <c r="G14" s="82"/>
      <c r="H14" s="82"/>
      <c r="I14" s="82"/>
      <c r="J14" s="82"/>
      <c r="K14" s="82"/>
      <c r="L14" s="82"/>
      <c r="M14" s="82"/>
      <c r="N14" s="82"/>
    </row>
    <row r="15" spans="1:14" ht="14.25" customHeight="1" x14ac:dyDescent="0.3">
      <c r="A15" s="82"/>
      <c r="B15" s="82"/>
      <c r="C15" s="82"/>
      <c r="D15" s="82"/>
      <c r="E15" s="82"/>
      <c r="F15" s="82"/>
      <c r="G15" s="82"/>
      <c r="H15" s="82"/>
      <c r="I15" s="82"/>
      <c r="J15" s="82"/>
      <c r="K15" s="82"/>
      <c r="L15" s="82"/>
      <c r="M15" s="82"/>
      <c r="N15" s="82"/>
    </row>
    <row r="16" spans="1:14" ht="14.25" customHeight="1" x14ac:dyDescent="0.3">
      <c r="A16" s="82"/>
      <c r="B16" s="82"/>
      <c r="C16" s="82"/>
      <c r="D16" s="82"/>
      <c r="E16" s="82"/>
      <c r="F16" s="82"/>
      <c r="G16" s="82"/>
      <c r="H16" s="82"/>
      <c r="I16" s="82"/>
      <c r="J16" s="82"/>
      <c r="K16" s="82"/>
      <c r="L16" s="82"/>
      <c r="M16" s="82"/>
      <c r="N16" s="82"/>
    </row>
    <row r="17" spans="1:14" ht="14.25" customHeight="1" x14ac:dyDescent="0.3">
      <c r="A17" s="82"/>
      <c r="B17" s="82"/>
      <c r="C17" s="82"/>
      <c r="D17" s="82"/>
      <c r="E17" s="82"/>
      <c r="F17" s="82"/>
      <c r="G17" s="82"/>
      <c r="H17" s="82"/>
      <c r="I17" s="82"/>
      <c r="J17" s="82"/>
      <c r="K17" s="82"/>
      <c r="L17" s="82"/>
      <c r="M17" s="82"/>
      <c r="N17" s="82"/>
    </row>
    <row r="18" spans="1:14" ht="14.25" customHeight="1" x14ac:dyDescent="0.3">
      <c r="A18" s="82"/>
      <c r="B18" s="82"/>
      <c r="C18" s="82"/>
      <c r="D18" s="82"/>
      <c r="E18" s="82"/>
      <c r="F18" s="82"/>
      <c r="G18" s="82"/>
      <c r="H18" s="82"/>
      <c r="I18" s="82"/>
      <c r="J18" s="82"/>
      <c r="K18" s="82"/>
      <c r="L18" s="82"/>
      <c r="M18" s="82"/>
      <c r="N18" s="82"/>
    </row>
    <row r="19" spans="1:14" ht="14.25" customHeight="1" x14ac:dyDescent="0.3">
      <c r="A19" s="82"/>
      <c r="B19" s="82"/>
      <c r="C19" s="82"/>
      <c r="D19" s="82"/>
      <c r="E19" s="82"/>
      <c r="F19" s="82"/>
      <c r="G19" s="82"/>
      <c r="H19" s="82"/>
      <c r="I19" s="82"/>
      <c r="J19" s="82"/>
      <c r="K19" s="82"/>
      <c r="L19" s="82"/>
      <c r="M19" s="82"/>
      <c r="N19" s="82"/>
    </row>
    <row r="20" spans="1:14" ht="14.25" customHeight="1" x14ac:dyDescent="0.3">
      <c r="A20" s="82"/>
      <c r="B20" s="82"/>
      <c r="C20" s="82"/>
      <c r="D20" s="82"/>
      <c r="E20" s="82"/>
      <c r="F20" s="82"/>
      <c r="G20" s="82"/>
      <c r="H20" s="82"/>
      <c r="I20" s="82"/>
      <c r="J20" s="82"/>
      <c r="K20" s="82"/>
      <c r="L20" s="82"/>
      <c r="M20" s="82"/>
      <c r="N20" s="82"/>
    </row>
    <row r="21" spans="1:14" ht="14.25" customHeight="1" x14ac:dyDescent="0.3">
      <c r="A21" s="82"/>
      <c r="B21" s="82"/>
      <c r="C21" s="82"/>
      <c r="D21" s="82"/>
      <c r="E21" s="82"/>
      <c r="F21" s="82"/>
      <c r="G21" s="82"/>
      <c r="H21" s="82"/>
      <c r="I21" s="82"/>
      <c r="J21" s="82"/>
      <c r="K21" s="82"/>
      <c r="L21" s="82"/>
      <c r="M21" s="82"/>
      <c r="N21" s="82"/>
    </row>
    <row r="22" spans="1:14" ht="14.25" customHeight="1" x14ac:dyDescent="0.3">
      <c r="A22" s="82"/>
      <c r="B22" s="82"/>
      <c r="C22" s="82"/>
      <c r="D22" s="82"/>
      <c r="E22" s="82"/>
      <c r="F22" s="82"/>
      <c r="G22" s="82"/>
      <c r="H22" s="82"/>
      <c r="I22" s="82"/>
      <c r="J22" s="82"/>
      <c r="K22" s="82"/>
      <c r="L22" s="82"/>
      <c r="M22" s="82"/>
      <c r="N22" s="82"/>
    </row>
    <row r="23" spans="1:14" ht="14.25" customHeight="1" x14ac:dyDescent="0.3">
      <c r="A23" s="82"/>
      <c r="B23" s="82"/>
      <c r="C23" s="82"/>
      <c r="D23" s="82"/>
      <c r="E23" s="82"/>
      <c r="F23" s="82"/>
      <c r="G23" s="82"/>
      <c r="H23" s="82"/>
      <c r="I23" s="82"/>
      <c r="J23" s="82"/>
      <c r="K23" s="82"/>
      <c r="L23" s="82"/>
      <c r="M23" s="82"/>
      <c r="N23" s="82"/>
    </row>
    <row r="24" spans="1:14" ht="14.25" customHeight="1" x14ac:dyDescent="0.3">
      <c r="A24" s="82"/>
      <c r="B24" s="82"/>
      <c r="C24" s="82"/>
      <c r="D24" s="82"/>
      <c r="E24" s="82"/>
      <c r="F24" s="82"/>
      <c r="G24" s="82"/>
      <c r="H24" s="82"/>
      <c r="I24" s="82"/>
      <c r="J24" s="82"/>
      <c r="K24" s="82"/>
      <c r="L24" s="82"/>
      <c r="M24" s="82"/>
      <c r="N24" s="82"/>
    </row>
    <row r="25" spans="1:14" ht="14.25" customHeight="1" x14ac:dyDescent="0.3">
      <c r="A25" s="82"/>
      <c r="B25" s="82"/>
      <c r="C25" s="82"/>
      <c r="D25" s="82"/>
      <c r="E25" s="82"/>
      <c r="F25" s="82"/>
      <c r="G25" s="82"/>
      <c r="H25" s="82"/>
      <c r="I25" s="82"/>
      <c r="J25" s="82"/>
      <c r="K25" s="82"/>
      <c r="L25" s="82"/>
      <c r="M25" s="82"/>
      <c r="N25" s="82"/>
    </row>
    <row r="26" spans="1:14" ht="14.25" customHeight="1" x14ac:dyDescent="0.3">
      <c r="A26" s="82"/>
      <c r="B26" s="82"/>
      <c r="C26" s="82"/>
      <c r="D26" s="82"/>
      <c r="E26" s="82"/>
      <c r="F26" s="82"/>
      <c r="G26" s="82"/>
      <c r="H26" s="82"/>
      <c r="I26" s="82"/>
      <c r="J26" s="82"/>
      <c r="K26" s="82"/>
      <c r="L26" s="82"/>
      <c r="M26" s="82"/>
      <c r="N26" s="82"/>
    </row>
    <row r="27" spans="1:14" ht="14.25" customHeight="1" x14ac:dyDescent="0.3">
      <c r="A27" s="82"/>
      <c r="B27" s="82"/>
      <c r="C27" s="82"/>
      <c r="D27" s="82"/>
      <c r="E27" s="82"/>
      <c r="F27" s="82"/>
      <c r="G27" s="82"/>
      <c r="H27" s="82"/>
      <c r="I27" s="82"/>
      <c r="J27" s="82"/>
      <c r="K27" s="82"/>
      <c r="L27" s="82"/>
      <c r="M27" s="82"/>
      <c r="N27" s="82"/>
    </row>
    <row r="28" spans="1:14" ht="9" customHeight="1" x14ac:dyDescent="0.3">
      <c r="A28" s="82"/>
      <c r="B28" s="82"/>
      <c r="C28" s="82"/>
      <c r="D28" s="82"/>
      <c r="E28" s="82"/>
      <c r="F28" s="82"/>
      <c r="G28" s="82"/>
      <c r="H28" s="82"/>
      <c r="I28" s="82"/>
      <c r="J28" s="82"/>
      <c r="K28" s="82"/>
      <c r="L28" s="82"/>
      <c r="M28" s="82"/>
      <c r="N28" s="82"/>
    </row>
    <row r="29" spans="1:14" ht="51.75" customHeight="1" x14ac:dyDescent="0.3">
      <c r="A29" s="188" t="s">
        <v>182</v>
      </c>
      <c r="B29" s="188"/>
      <c r="C29" s="188"/>
      <c r="D29" s="188"/>
      <c r="E29" s="188"/>
      <c r="F29" s="188"/>
      <c r="G29" s="188"/>
      <c r="H29" s="188"/>
      <c r="I29" s="188"/>
      <c r="J29" s="188"/>
      <c r="K29" s="188"/>
      <c r="L29" s="188"/>
      <c r="M29" s="188"/>
      <c r="N29" s="188"/>
    </row>
    <row r="30" spans="1:14" ht="9" customHeight="1" x14ac:dyDescent="0.3">
      <c r="A30" s="82"/>
      <c r="B30" s="82"/>
      <c r="C30" s="82"/>
      <c r="D30" s="82"/>
      <c r="E30" s="82"/>
      <c r="F30" s="82"/>
      <c r="G30" s="82"/>
      <c r="H30" s="82"/>
      <c r="I30" s="82"/>
      <c r="J30" s="82"/>
      <c r="K30" s="82"/>
      <c r="L30" s="82"/>
      <c r="M30" s="82"/>
      <c r="N30" s="82"/>
    </row>
    <row r="31" spans="1:14" ht="14.25" customHeight="1" x14ac:dyDescent="0.3">
      <c r="A31" s="82"/>
      <c r="B31" s="82"/>
      <c r="C31" s="82"/>
      <c r="J31" s="82"/>
      <c r="K31" s="82"/>
      <c r="L31" s="82"/>
      <c r="M31" s="82"/>
      <c r="N31" s="82"/>
    </row>
    <row r="32" spans="1:14" ht="29.25" customHeight="1" x14ac:dyDescent="0.3">
      <c r="A32" s="82"/>
      <c r="B32" s="82"/>
      <c r="C32" s="82"/>
      <c r="D32" s="88"/>
      <c r="E32" s="89" t="s">
        <v>148</v>
      </c>
      <c r="F32" s="89" t="s">
        <v>149</v>
      </c>
      <c r="G32" s="89" t="s">
        <v>150</v>
      </c>
      <c r="H32" s="89" t="s">
        <v>151</v>
      </c>
      <c r="I32" s="89" t="s">
        <v>152</v>
      </c>
      <c r="J32" s="82"/>
      <c r="K32" s="82"/>
      <c r="L32" s="82"/>
      <c r="M32" s="82"/>
      <c r="N32" s="82"/>
    </row>
    <row r="33" spans="1:14" ht="27" customHeight="1" x14ac:dyDescent="0.3">
      <c r="A33" s="82"/>
      <c r="B33" s="82"/>
      <c r="C33" s="82"/>
      <c r="D33" s="90" t="s">
        <v>183</v>
      </c>
      <c r="E33" s="91">
        <f>('Profit &amp; Loss'!B5/'Profit &amp; Loss'!B4)*100</f>
        <v>91.922778925619824</v>
      </c>
      <c r="F33" s="91">
        <f>('Profit &amp; Loss'!C5/'Profit &amp; Loss'!C4)*100</f>
        <v>91.505602240896351</v>
      </c>
      <c r="G33" s="91">
        <f>('Profit &amp; Loss'!D5/'Profit &amp; Loss'!D4)*100</f>
        <v>91.915572269585937</v>
      </c>
      <c r="H33" s="91">
        <f>('Profit &amp; Loss'!E5/'Profit &amp; Loss'!E4)*100</f>
        <v>92.428990195087437</v>
      </c>
      <c r="I33" s="91">
        <f>('Profit &amp; Loss'!F5/'Profit &amp; Loss'!F4)*100</f>
        <v>92.460150244838061</v>
      </c>
      <c r="J33" s="82"/>
      <c r="K33" s="82"/>
      <c r="L33" s="82"/>
      <c r="M33" s="82"/>
      <c r="N33" s="82"/>
    </row>
    <row r="34" spans="1:14" ht="14.25" customHeight="1" x14ac:dyDescent="0.3">
      <c r="A34" s="82"/>
      <c r="B34" s="82"/>
      <c r="C34" s="82"/>
      <c r="D34" s="82"/>
      <c r="E34" s="82"/>
      <c r="F34" s="82"/>
      <c r="G34" s="82"/>
      <c r="H34" s="82"/>
      <c r="I34" s="82"/>
      <c r="J34" s="82"/>
      <c r="K34" s="82"/>
      <c r="L34" s="82"/>
      <c r="M34" s="82"/>
      <c r="N34" s="82"/>
    </row>
    <row r="35" spans="1:14" ht="14.25" customHeight="1" x14ac:dyDescent="0.3">
      <c r="A35" s="82"/>
      <c r="B35" s="82"/>
      <c r="C35" s="82"/>
      <c r="D35" s="82"/>
      <c r="E35" s="82"/>
      <c r="F35" s="82"/>
      <c r="G35" s="82"/>
      <c r="H35" s="82"/>
      <c r="I35" s="82"/>
      <c r="J35" s="82"/>
      <c r="K35" s="82"/>
      <c r="L35" s="82"/>
      <c r="M35" s="82"/>
      <c r="N35" s="82"/>
    </row>
    <row r="36" spans="1:14" ht="14.25" customHeight="1" x14ac:dyDescent="0.3">
      <c r="A36" s="82"/>
      <c r="B36" s="82"/>
      <c r="C36" s="82"/>
      <c r="D36" s="82"/>
      <c r="E36" s="82"/>
      <c r="F36" s="82"/>
      <c r="G36" s="82"/>
      <c r="H36" s="82"/>
      <c r="I36" s="82"/>
      <c r="J36" s="82"/>
      <c r="K36" s="82"/>
      <c r="L36" s="82"/>
      <c r="M36" s="82"/>
      <c r="N36" s="82"/>
    </row>
    <row r="37" spans="1:14" ht="14.25" customHeight="1" x14ac:dyDescent="0.3">
      <c r="A37" s="82"/>
      <c r="B37" s="82"/>
      <c r="C37" s="82"/>
      <c r="D37" s="82"/>
      <c r="E37" s="82"/>
      <c r="F37" s="82"/>
      <c r="G37" s="82"/>
      <c r="H37" s="82"/>
      <c r="I37" s="82"/>
      <c r="J37" s="82"/>
      <c r="K37" s="82"/>
      <c r="L37" s="82"/>
      <c r="M37" s="82"/>
      <c r="N37" s="82"/>
    </row>
    <row r="38" spans="1:14" ht="14.25" customHeight="1" x14ac:dyDescent="0.3">
      <c r="A38" s="82"/>
      <c r="B38" s="82"/>
      <c r="C38" s="82"/>
      <c r="D38" s="82"/>
      <c r="E38" s="82"/>
      <c r="F38" s="82"/>
      <c r="G38" s="82"/>
      <c r="H38" s="82"/>
      <c r="I38" s="82"/>
      <c r="J38" s="82"/>
      <c r="K38" s="82"/>
      <c r="L38" s="82"/>
      <c r="M38" s="82"/>
      <c r="N38" s="82"/>
    </row>
    <row r="39" spans="1:14" ht="14.25" customHeight="1" x14ac:dyDescent="0.3">
      <c r="A39" s="82"/>
      <c r="B39" s="82"/>
      <c r="C39" s="82"/>
      <c r="D39" s="82"/>
      <c r="E39" s="82"/>
      <c r="F39" s="82"/>
      <c r="G39" s="82"/>
      <c r="H39" s="82"/>
      <c r="I39" s="82"/>
      <c r="J39" s="82"/>
      <c r="K39" s="82"/>
      <c r="L39" s="82"/>
      <c r="M39" s="82"/>
      <c r="N39" s="82"/>
    </row>
    <row r="40" spans="1:14" ht="14.25" customHeight="1" x14ac:dyDescent="0.3">
      <c r="A40" s="82"/>
      <c r="B40" s="82"/>
      <c r="C40" s="82"/>
      <c r="D40" s="82"/>
      <c r="E40" s="82"/>
      <c r="F40" s="82"/>
      <c r="G40" s="82"/>
      <c r="H40" s="82"/>
      <c r="I40" s="82"/>
      <c r="J40" s="82"/>
      <c r="K40" s="82"/>
      <c r="L40" s="82"/>
      <c r="M40" s="82"/>
      <c r="N40" s="82"/>
    </row>
    <row r="41" spans="1:14" ht="14.25" customHeight="1" x14ac:dyDescent="0.3">
      <c r="A41" s="82"/>
      <c r="B41" s="82"/>
      <c r="C41" s="82"/>
      <c r="D41" s="82"/>
      <c r="E41" s="82"/>
      <c r="F41" s="82"/>
      <c r="G41" s="82"/>
      <c r="H41" s="82"/>
      <c r="I41" s="82"/>
      <c r="J41" s="82"/>
      <c r="K41" s="82"/>
      <c r="L41" s="82"/>
      <c r="M41" s="82"/>
      <c r="N41" s="82"/>
    </row>
    <row r="42" spans="1:14" ht="14.25" customHeight="1" x14ac:dyDescent="0.3">
      <c r="A42" s="82"/>
      <c r="B42" s="82"/>
      <c r="C42" s="82"/>
      <c r="D42" s="82"/>
      <c r="E42" s="82"/>
      <c r="F42" s="82"/>
      <c r="G42" s="82"/>
      <c r="H42" s="82"/>
      <c r="I42" s="82"/>
      <c r="J42" s="82"/>
      <c r="K42" s="82"/>
      <c r="L42" s="82"/>
      <c r="M42" s="82"/>
      <c r="N42" s="82"/>
    </row>
    <row r="43" spans="1:14" ht="14.25" customHeight="1" x14ac:dyDescent="0.3">
      <c r="A43" s="82"/>
      <c r="B43" s="82"/>
      <c r="C43" s="82"/>
      <c r="D43" s="82"/>
      <c r="E43" s="82"/>
      <c r="F43" s="82"/>
      <c r="G43" s="82"/>
      <c r="H43" s="82"/>
      <c r="I43" s="82"/>
      <c r="J43" s="82"/>
      <c r="K43" s="82"/>
      <c r="L43" s="82"/>
      <c r="M43" s="82"/>
      <c r="N43" s="82"/>
    </row>
    <row r="44" spans="1:14" ht="14.25" customHeight="1" x14ac:dyDescent="0.3">
      <c r="A44" s="82"/>
      <c r="B44" s="82"/>
      <c r="C44" s="82"/>
      <c r="D44" s="82"/>
      <c r="E44" s="82"/>
      <c r="F44" s="82"/>
      <c r="G44" s="82"/>
      <c r="H44" s="82"/>
      <c r="I44" s="82"/>
      <c r="J44" s="82"/>
      <c r="K44" s="82"/>
      <c r="L44" s="82"/>
      <c r="M44" s="82"/>
      <c r="N44" s="82"/>
    </row>
    <row r="45" spans="1:14" ht="14.25" customHeight="1" x14ac:dyDescent="0.3">
      <c r="A45" s="82"/>
      <c r="B45" s="82"/>
      <c r="C45" s="82"/>
      <c r="D45" s="82"/>
      <c r="E45" s="82"/>
      <c r="F45" s="82"/>
      <c r="G45" s="82"/>
      <c r="H45" s="82"/>
      <c r="I45" s="82"/>
      <c r="J45" s="82"/>
      <c r="K45" s="82"/>
      <c r="L45" s="82"/>
      <c r="M45" s="82"/>
      <c r="N45" s="82"/>
    </row>
    <row r="46" spans="1:14" ht="14.25" customHeight="1" x14ac:dyDescent="0.3">
      <c r="A46" s="82"/>
      <c r="B46" s="82"/>
      <c r="C46" s="82"/>
      <c r="D46" s="82"/>
      <c r="E46" s="82"/>
      <c r="F46" s="82"/>
      <c r="G46" s="82"/>
      <c r="H46" s="82"/>
      <c r="I46" s="82"/>
      <c r="J46" s="82"/>
      <c r="K46" s="82"/>
      <c r="L46" s="82"/>
      <c r="M46" s="82"/>
      <c r="N46" s="82"/>
    </row>
    <row r="47" spans="1:14" ht="9" customHeight="1" x14ac:dyDescent="0.3">
      <c r="A47" s="82"/>
      <c r="B47" s="82"/>
      <c r="C47" s="82"/>
      <c r="D47" s="82"/>
      <c r="E47" s="82"/>
      <c r="F47" s="82"/>
      <c r="G47" s="82"/>
      <c r="H47" s="82"/>
      <c r="I47" s="82"/>
      <c r="J47" s="82"/>
      <c r="K47" s="82"/>
      <c r="L47" s="82"/>
      <c r="M47" s="82"/>
      <c r="N47" s="82"/>
    </row>
    <row r="48" spans="1:14" ht="48" customHeight="1" x14ac:dyDescent="0.3">
      <c r="A48" s="190" t="s">
        <v>184</v>
      </c>
      <c r="B48" s="190"/>
      <c r="C48" s="190"/>
      <c r="D48" s="190"/>
      <c r="E48" s="190"/>
      <c r="F48" s="190"/>
      <c r="G48" s="190"/>
      <c r="H48" s="190"/>
      <c r="I48" s="190"/>
      <c r="J48" s="190"/>
      <c r="K48" s="190"/>
      <c r="L48" s="190"/>
      <c r="M48" s="190"/>
      <c r="N48" s="190"/>
    </row>
    <row r="49" spans="1:14" ht="42" customHeight="1" x14ac:dyDescent="0.3">
      <c r="A49" s="191" t="s">
        <v>185</v>
      </c>
      <c r="B49" s="191"/>
      <c r="C49" s="191"/>
      <c r="D49" s="191"/>
      <c r="E49" s="191"/>
      <c r="F49" s="191"/>
      <c r="G49" s="191"/>
      <c r="H49" s="191"/>
      <c r="I49" s="191"/>
      <c r="J49" s="191"/>
      <c r="K49" s="191"/>
      <c r="L49" s="191"/>
      <c r="M49" s="191"/>
      <c r="N49" s="191"/>
    </row>
    <row r="50" spans="1:14" ht="45.75" customHeight="1" x14ac:dyDescent="0.3">
      <c r="A50" s="192" t="s">
        <v>186</v>
      </c>
      <c r="B50" s="192"/>
      <c r="C50" s="192"/>
      <c r="D50" s="192"/>
      <c r="E50" s="192"/>
      <c r="F50" s="192"/>
      <c r="G50" s="192"/>
      <c r="H50" s="192"/>
      <c r="I50" s="192"/>
      <c r="J50" s="192"/>
      <c r="K50" s="192"/>
      <c r="L50" s="192"/>
      <c r="M50" s="192"/>
      <c r="N50" s="192"/>
    </row>
  </sheetData>
  <mergeCells count="8">
    <mergeCell ref="A48:N48"/>
    <mergeCell ref="A49:N49"/>
    <mergeCell ref="A50:N50"/>
    <mergeCell ref="A1:N1"/>
    <mergeCell ref="A2:N2"/>
    <mergeCell ref="A11:N11"/>
    <mergeCell ref="A13:N13"/>
    <mergeCell ref="A29:N29"/>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75B5"/>
  </sheetPr>
  <dimension ref="A1:M25"/>
  <sheetViews>
    <sheetView showGridLines="0" zoomScale="115" zoomScaleNormal="115" workbookViewId="0">
      <selection activeCell="J5" sqref="J5"/>
    </sheetView>
  </sheetViews>
  <sheetFormatPr defaultColWidth="8.5546875" defaultRowHeight="14.4" x14ac:dyDescent="0.3"/>
  <cols>
    <col min="1" max="1" width="37.88671875" customWidth="1"/>
    <col min="2" max="6" width="14.44140625" customWidth="1"/>
  </cols>
  <sheetData>
    <row r="1" spans="1:13" ht="30" customHeight="1" x14ac:dyDescent="0.3">
      <c r="A1" s="193" t="s">
        <v>187</v>
      </c>
      <c r="B1" s="193"/>
      <c r="C1" s="193"/>
      <c r="D1" s="193"/>
      <c r="E1" s="193"/>
      <c r="F1" s="193"/>
      <c r="I1" s="92"/>
      <c r="J1" s="92"/>
      <c r="K1" s="92"/>
      <c r="L1" s="92"/>
      <c r="M1" s="92"/>
    </row>
    <row r="2" spans="1:13" ht="19.5" customHeight="1" x14ac:dyDescent="0.3">
      <c r="A2" s="194" t="s">
        <v>188</v>
      </c>
      <c r="B2" s="194"/>
      <c r="C2" s="194"/>
      <c r="D2" s="194"/>
      <c r="E2" s="194"/>
      <c r="F2" s="194"/>
    </row>
    <row r="3" spans="1:13" s="41" customFormat="1" ht="22.5" customHeight="1" x14ac:dyDescent="0.3">
      <c r="A3" s="93"/>
      <c r="B3" s="94">
        <v>44621</v>
      </c>
      <c r="C3" s="94">
        <v>44986</v>
      </c>
      <c r="D3" s="94">
        <v>45352</v>
      </c>
      <c r="E3" s="94">
        <v>45717</v>
      </c>
      <c r="F3" s="94">
        <v>46082</v>
      </c>
    </row>
    <row r="4" spans="1:13" ht="19.5" customHeight="1" x14ac:dyDescent="0.3">
      <c r="A4" s="95" t="s">
        <v>189</v>
      </c>
      <c r="B4" s="96">
        <v>30976</v>
      </c>
      <c r="C4" s="96">
        <v>42840</v>
      </c>
      <c r="D4" s="96">
        <v>50789</v>
      </c>
      <c r="E4" s="96">
        <v>59358</v>
      </c>
      <c r="F4" s="96">
        <v>68821</v>
      </c>
    </row>
    <row r="5" spans="1:13" ht="19.5" customHeight="1" x14ac:dyDescent="0.3">
      <c r="A5" s="97" t="s">
        <v>190</v>
      </c>
      <c r="B5" s="98">
        <v>28474</v>
      </c>
      <c r="C5" s="98">
        <v>39201</v>
      </c>
      <c r="D5" s="98">
        <v>46683</v>
      </c>
      <c r="E5" s="98">
        <v>54864</v>
      </c>
      <c r="F5" s="98">
        <v>63632</v>
      </c>
      <c r="K5" s="92"/>
    </row>
    <row r="6" spans="1:13" ht="19.5" customHeight="1" x14ac:dyDescent="0.3">
      <c r="A6" s="99" t="s">
        <v>191</v>
      </c>
      <c r="B6" s="100">
        <v>0.85</v>
      </c>
      <c r="C6" s="100">
        <v>0.85</v>
      </c>
      <c r="D6" s="100">
        <v>0.85</v>
      </c>
      <c r="E6" s="100">
        <v>0.85</v>
      </c>
      <c r="F6" s="100">
        <v>0.85</v>
      </c>
      <c r="J6" s="41"/>
      <c r="K6" s="92"/>
    </row>
    <row r="7" spans="1:13" ht="19.5" customHeight="1" x14ac:dyDescent="0.3">
      <c r="A7" s="101" t="s">
        <v>192</v>
      </c>
      <c r="B7" s="102">
        <v>26892</v>
      </c>
      <c r="C7" s="102">
        <v>36885</v>
      </c>
      <c r="D7" s="102">
        <v>43958</v>
      </c>
      <c r="E7" s="102">
        <v>51669</v>
      </c>
      <c r="F7" s="102">
        <v>59316</v>
      </c>
      <c r="J7" s="41"/>
      <c r="K7" s="92"/>
    </row>
    <row r="8" spans="1:13" ht="19.5" customHeight="1" x14ac:dyDescent="0.3">
      <c r="A8" s="103" t="s">
        <v>193</v>
      </c>
      <c r="B8" s="104">
        <v>-494</v>
      </c>
      <c r="C8" s="104">
        <v>-501</v>
      </c>
      <c r="D8" s="104">
        <v>-684</v>
      </c>
      <c r="E8" s="105">
        <v>-1117</v>
      </c>
      <c r="F8" s="104">
        <v>-856</v>
      </c>
      <c r="J8" s="41"/>
      <c r="K8" s="92"/>
    </row>
    <row r="9" spans="1:13" ht="19.5" customHeight="1" x14ac:dyDescent="0.3">
      <c r="A9" s="106" t="s">
        <v>69</v>
      </c>
      <c r="B9" s="107">
        <v>4578</v>
      </c>
      <c r="C9" s="107">
        <v>6456</v>
      </c>
      <c r="D9" s="107">
        <v>7515</v>
      </c>
      <c r="E9" s="107">
        <v>8806</v>
      </c>
      <c r="F9" s="107">
        <v>10361</v>
      </c>
      <c r="J9" s="41"/>
      <c r="K9" s="92"/>
    </row>
    <row r="10" spans="1:13" ht="19.5" customHeight="1" x14ac:dyDescent="0.3">
      <c r="A10" s="99" t="s">
        <v>194</v>
      </c>
      <c r="B10" s="100">
        <v>0.03</v>
      </c>
      <c r="C10" s="100">
        <v>0.03</v>
      </c>
      <c r="D10" s="100">
        <v>0.03</v>
      </c>
      <c r="E10" s="100">
        <v>0.04</v>
      </c>
      <c r="F10" s="100">
        <v>0.04</v>
      </c>
    </row>
    <row r="11" spans="1:13" ht="19.5" customHeight="1" x14ac:dyDescent="0.3">
      <c r="A11" s="101" t="s">
        <v>195</v>
      </c>
      <c r="B11" s="108">
        <v>0.02</v>
      </c>
      <c r="C11" s="108">
        <v>0.02</v>
      </c>
      <c r="D11" s="108">
        <v>0.02</v>
      </c>
      <c r="E11" s="108">
        <v>0.02</v>
      </c>
      <c r="F11" s="108">
        <v>0.02</v>
      </c>
    </row>
    <row r="12" spans="1:13" ht="19.5" customHeight="1" x14ac:dyDescent="0.3">
      <c r="A12" s="103" t="s">
        <v>196</v>
      </c>
      <c r="B12" s="109">
        <v>0.01</v>
      </c>
      <c r="C12" s="109">
        <v>0.01</v>
      </c>
      <c r="D12" s="109">
        <v>0.02</v>
      </c>
      <c r="E12" s="109">
        <v>0.02</v>
      </c>
      <c r="F12" s="109">
        <v>0.02</v>
      </c>
    </row>
    <row r="13" spans="1:13" ht="19.5" customHeight="1" x14ac:dyDescent="0.3">
      <c r="A13" s="110" t="s">
        <v>197</v>
      </c>
      <c r="B13" s="111">
        <v>2502</v>
      </c>
      <c r="C13" s="111">
        <v>3639</v>
      </c>
      <c r="D13" s="111">
        <v>4106</v>
      </c>
      <c r="E13" s="111">
        <v>4495</v>
      </c>
      <c r="F13" s="111">
        <v>5189</v>
      </c>
    </row>
    <row r="14" spans="1:13" ht="19.5" customHeight="1" x14ac:dyDescent="0.3">
      <c r="A14" s="112" t="s">
        <v>198</v>
      </c>
      <c r="B14" s="113">
        <v>114</v>
      </c>
      <c r="C14" s="113">
        <v>128</v>
      </c>
      <c r="D14" s="113">
        <v>145</v>
      </c>
      <c r="E14" s="113">
        <v>117</v>
      </c>
      <c r="F14" s="113">
        <v>72</v>
      </c>
    </row>
    <row r="15" spans="1:13" ht="19.5" customHeight="1" x14ac:dyDescent="0.3">
      <c r="A15" s="101" t="s">
        <v>199</v>
      </c>
      <c r="B15" s="114">
        <v>0</v>
      </c>
      <c r="C15" s="114">
        <v>7</v>
      </c>
      <c r="D15" s="114">
        <v>25</v>
      </c>
      <c r="E15" s="114">
        <v>15</v>
      </c>
      <c r="F15" s="114">
        <v>2</v>
      </c>
    </row>
    <row r="16" spans="1:13" ht="19.5" customHeight="1" x14ac:dyDescent="0.3">
      <c r="A16" s="101" t="s">
        <v>200</v>
      </c>
      <c r="B16" s="114">
        <v>114</v>
      </c>
      <c r="C16" s="114">
        <v>121</v>
      </c>
      <c r="D16" s="114">
        <v>119</v>
      </c>
      <c r="E16" s="114">
        <v>103</v>
      </c>
      <c r="F16" s="114">
        <v>70</v>
      </c>
    </row>
    <row r="17" spans="1:6" ht="19.5" customHeight="1" x14ac:dyDescent="0.3">
      <c r="A17" s="115" t="s">
        <v>201</v>
      </c>
      <c r="B17" s="114">
        <v>54</v>
      </c>
      <c r="C17" s="114">
        <v>67</v>
      </c>
      <c r="D17" s="114">
        <v>58</v>
      </c>
      <c r="E17" s="114">
        <v>69</v>
      </c>
      <c r="F17" s="114">
        <v>142</v>
      </c>
    </row>
    <row r="18" spans="1:6" ht="19.5" customHeight="1" x14ac:dyDescent="0.3">
      <c r="A18" s="116" t="s">
        <v>202</v>
      </c>
      <c r="B18" s="104">
        <v>498</v>
      </c>
      <c r="C18" s="104">
        <v>639</v>
      </c>
      <c r="D18" s="104">
        <v>731</v>
      </c>
      <c r="E18" s="104">
        <v>870</v>
      </c>
      <c r="F18" s="105">
        <v>1037</v>
      </c>
    </row>
    <row r="19" spans="1:6" ht="19.5" customHeight="1" x14ac:dyDescent="0.3">
      <c r="A19" s="110" t="s">
        <v>203</v>
      </c>
      <c r="B19" s="111">
        <v>2064</v>
      </c>
      <c r="C19" s="111">
        <v>3060</v>
      </c>
      <c r="D19" s="111">
        <v>3461</v>
      </c>
      <c r="E19" s="111">
        <v>3673</v>
      </c>
      <c r="F19" s="111">
        <v>4082</v>
      </c>
    </row>
    <row r="20" spans="1:6" ht="19.5" customHeight="1" x14ac:dyDescent="0.3">
      <c r="A20" s="117" t="s">
        <v>204</v>
      </c>
      <c r="B20" s="118">
        <v>0.28000000000000003</v>
      </c>
      <c r="C20" s="118">
        <v>0.22</v>
      </c>
      <c r="D20" s="118">
        <v>0.27</v>
      </c>
      <c r="E20" s="118">
        <v>0.26</v>
      </c>
      <c r="F20" s="118">
        <v>0.27</v>
      </c>
    </row>
    <row r="21" spans="1:6" ht="19.5" customHeight="1" x14ac:dyDescent="0.3">
      <c r="A21" s="110" t="s">
        <v>205</v>
      </c>
      <c r="B21" s="111">
        <v>1492</v>
      </c>
      <c r="C21" s="111">
        <v>2378</v>
      </c>
      <c r="D21" s="111">
        <v>2536</v>
      </c>
      <c r="E21" s="111">
        <v>2707</v>
      </c>
      <c r="F21" s="111">
        <v>2970</v>
      </c>
    </row>
    <row r="22" spans="1:6" ht="19.5" customHeight="1" x14ac:dyDescent="0.3">
      <c r="A22" s="99" t="s">
        <v>206</v>
      </c>
      <c r="B22" s="113">
        <v>0</v>
      </c>
      <c r="C22" s="113">
        <v>5</v>
      </c>
      <c r="D22" s="113">
        <v>18</v>
      </c>
      <c r="E22" s="113">
        <v>19</v>
      </c>
      <c r="F22" s="113">
        <v>2</v>
      </c>
    </row>
    <row r="23" spans="1:6" ht="19.5" customHeight="1" x14ac:dyDescent="0.3">
      <c r="A23" s="119" t="s">
        <v>207</v>
      </c>
      <c r="B23" s="120">
        <v>1493</v>
      </c>
      <c r="C23" s="120">
        <v>2373</v>
      </c>
      <c r="D23" s="120">
        <v>2517</v>
      </c>
      <c r="E23" s="120">
        <v>2689</v>
      </c>
      <c r="F23" s="120">
        <v>2967</v>
      </c>
    </row>
    <row r="24" spans="1:6" ht="19.5" customHeight="1" x14ac:dyDescent="0.3">
      <c r="A24" s="121" t="s">
        <v>208</v>
      </c>
      <c r="B24" s="122">
        <v>1493</v>
      </c>
      <c r="C24" s="122">
        <v>2373</v>
      </c>
      <c r="D24" s="122">
        <v>2518</v>
      </c>
      <c r="E24" s="122">
        <v>2689</v>
      </c>
      <c r="F24" s="122">
        <v>2968</v>
      </c>
    </row>
    <row r="25" spans="1:6" ht="19.5" customHeight="1" x14ac:dyDescent="0.3">
      <c r="A25" s="123" t="s">
        <v>209</v>
      </c>
      <c r="B25" s="124">
        <v>1493</v>
      </c>
      <c r="C25" s="124">
        <v>2379</v>
      </c>
      <c r="D25" s="124">
        <v>2536</v>
      </c>
      <c r="E25" s="124">
        <v>2708</v>
      </c>
      <c r="F25" s="124">
        <v>2970</v>
      </c>
    </row>
  </sheetData>
  <mergeCells count="2">
    <mergeCell ref="A1:F1"/>
    <mergeCell ref="A2:F2"/>
  </mergeCells>
  <pageMargins left="0.75" right="0.75" top="1" bottom="1"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75B5"/>
  </sheetPr>
  <dimension ref="A1:M38"/>
  <sheetViews>
    <sheetView showGridLines="0" zoomScale="115" zoomScaleNormal="115" workbookViewId="0">
      <selection activeCell="A20" sqref="A20"/>
    </sheetView>
  </sheetViews>
  <sheetFormatPr defaultColWidth="9.6640625" defaultRowHeight="14.4" x14ac:dyDescent="0.3"/>
  <cols>
    <col min="1" max="1" width="37.88671875" customWidth="1"/>
    <col min="2" max="6" width="15.21875" customWidth="1"/>
  </cols>
  <sheetData>
    <row r="1" spans="1:13" ht="30" customHeight="1" x14ac:dyDescent="0.3">
      <c r="A1" s="193" t="s">
        <v>24</v>
      </c>
      <c r="B1" s="193"/>
      <c r="C1" s="193"/>
      <c r="D1" s="193"/>
      <c r="E1" s="193"/>
      <c r="F1" s="193"/>
    </row>
    <row r="2" spans="1:13" ht="19.5" customHeight="1" x14ac:dyDescent="0.3">
      <c r="A2" s="194" t="s">
        <v>188</v>
      </c>
      <c r="B2" s="194"/>
      <c r="C2" s="194"/>
      <c r="D2" s="194"/>
      <c r="E2" s="194"/>
      <c r="F2" s="194"/>
    </row>
    <row r="3" spans="1:13" s="41" customFormat="1" ht="22.5" customHeight="1" x14ac:dyDescent="0.3">
      <c r="A3" s="125"/>
      <c r="B3" s="28">
        <v>44621</v>
      </c>
      <c r="C3" s="28">
        <v>44986</v>
      </c>
      <c r="D3" s="28">
        <v>45352</v>
      </c>
      <c r="E3" s="28">
        <v>45717</v>
      </c>
      <c r="F3" s="28">
        <v>46082</v>
      </c>
    </row>
    <row r="4" spans="1:13" ht="19.5" customHeight="1" x14ac:dyDescent="0.3">
      <c r="A4" s="126" t="s">
        <v>210</v>
      </c>
      <c r="B4" s="127">
        <v>648</v>
      </c>
      <c r="C4" s="127">
        <v>648</v>
      </c>
      <c r="D4" s="127">
        <v>651</v>
      </c>
      <c r="E4" s="127">
        <v>651</v>
      </c>
      <c r="F4" s="127">
        <v>652</v>
      </c>
    </row>
    <row r="5" spans="1:13" ht="19.5" customHeight="1" x14ac:dyDescent="0.3">
      <c r="A5" s="128" t="s">
        <v>211</v>
      </c>
      <c r="B5" s="129">
        <v>13030</v>
      </c>
      <c r="C5" s="129">
        <v>15430</v>
      </c>
      <c r="D5" s="129">
        <v>18047</v>
      </c>
      <c r="E5" s="129">
        <v>20777</v>
      </c>
      <c r="F5" s="129">
        <v>23812</v>
      </c>
    </row>
    <row r="6" spans="1:13" ht="19.5" customHeight="1" x14ac:dyDescent="0.3">
      <c r="A6" s="130" t="s">
        <v>212</v>
      </c>
      <c r="B6" s="131">
        <v>647</v>
      </c>
      <c r="C6" s="131">
        <v>643</v>
      </c>
      <c r="D6" s="131">
        <v>592</v>
      </c>
      <c r="E6" s="131">
        <v>820</v>
      </c>
      <c r="F6" s="131">
        <v>2425</v>
      </c>
    </row>
    <row r="7" spans="1:13" ht="19.5" customHeight="1" x14ac:dyDescent="0.3">
      <c r="A7" s="132" t="s">
        <v>213</v>
      </c>
      <c r="B7" s="133">
        <v>0</v>
      </c>
      <c r="C7" s="133">
        <v>0</v>
      </c>
      <c r="D7" s="133">
        <v>0</v>
      </c>
      <c r="E7" s="133">
        <v>0</v>
      </c>
      <c r="F7" s="133">
        <v>0</v>
      </c>
      <c r="H7" s="134"/>
      <c r="I7" s="134"/>
      <c r="J7" s="134"/>
      <c r="K7" s="134"/>
      <c r="L7" s="134"/>
    </row>
    <row r="8" spans="1:13" ht="19.5" customHeight="1" x14ac:dyDescent="0.3">
      <c r="A8" s="126" t="s">
        <v>214</v>
      </c>
      <c r="B8" s="127">
        <v>0</v>
      </c>
      <c r="C8" s="127">
        <v>0</v>
      </c>
      <c r="D8" s="127">
        <v>0</v>
      </c>
      <c r="E8" s="127">
        <v>0</v>
      </c>
      <c r="F8" s="127">
        <v>965</v>
      </c>
      <c r="H8" s="135"/>
      <c r="I8" s="135"/>
      <c r="J8" s="135"/>
      <c r="K8" s="135"/>
      <c r="L8" s="135"/>
    </row>
    <row r="9" spans="1:13" ht="19.5" customHeight="1" x14ac:dyDescent="0.3">
      <c r="A9" s="126" t="s">
        <v>215</v>
      </c>
      <c r="B9" s="127">
        <v>647</v>
      </c>
      <c r="C9" s="127">
        <v>643</v>
      </c>
      <c r="D9" s="127">
        <v>592</v>
      </c>
      <c r="E9" s="127">
        <v>820</v>
      </c>
      <c r="F9" s="127">
        <v>1460</v>
      </c>
      <c r="G9" s="136"/>
      <c r="H9" s="137"/>
      <c r="I9" s="138"/>
      <c r="J9" s="138"/>
      <c r="K9" s="138"/>
      <c r="L9" s="137"/>
    </row>
    <row r="10" spans="1:13" ht="19.5" customHeight="1" x14ac:dyDescent="0.3">
      <c r="A10" s="128" t="s">
        <v>216</v>
      </c>
      <c r="B10" s="129">
        <v>0</v>
      </c>
      <c r="C10" s="129">
        <v>0</v>
      </c>
      <c r="D10" s="129">
        <v>0</v>
      </c>
      <c r="E10" s="129">
        <v>0</v>
      </c>
      <c r="F10" s="129">
        <v>0</v>
      </c>
    </row>
    <row r="11" spans="1:13" ht="19.5" customHeight="1" x14ac:dyDescent="0.3">
      <c r="A11" s="130" t="s">
        <v>217</v>
      </c>
      <c r="B11" s="131">
        <v>1146</v>
      </c>
      <c r="C11" s="131">
        <v>1383</v>
      </c>
      <c r="D11" s="131">
        <v>1882</v>
      </c>
      <c r="E11" s="131">
        <v>2065</v>
      </c>
      <c r="F11" s="131">
        <v>2629</v>
      </c>
    </row>
    <row r="12" spans="1:13" ht="19.5" customHeight="1" x14ac:dyDescent="0.3">
      <c r="A12" s="132" t="s">
        <v>218</v>
      </c>
      <c r="B12" s="133">
        <v>0</v>
      </c>
      <c r="C12" s="133">
        <v>0</v>
      </c>
      <c r="D12" s="133">
        <v>0</v>
      </c>
      <c r="E12" s="133">
        <v>-1</v>
      </c>
      <c r="F12" s="133">
        <v>-2</v>
      </c>
    </row>
    <row r="13" spans="1:13" ht="19.5" customHeight="1" x14ac:dyDescent="0.3">
      <c r="A13" s="126" t="s">
        <v>219</v>
      </c>
      <c r="B13" s="127">
        <v>589</v>
      </c>
      <c r="C13" s="127">
        <v>754</v>
      </c>
      <c r="D13" s="127">
        <v>985</v>
      </c>
      <c r="E13" s="127">
        <v>1071</v>
      </c>
      <c r="F13" s="127">
        <v>1338</v>
      </c>
      <c r="H13" s="135"/>
      <c r="I13" s="135"/>
      <c r="J13" s="135"/>
      <c r="K13" s="135"/>
      <c r="L13" s="135"/>
      <c r="M13" s="135"/>
    </row>
    <row r="14" spans="1:13" ht="19.5" customHeight="1" x14ac:dyDescent="0.3">
      <c r="A14" s="128" t="s">
        <v>220</v>
      </c>
      <c r="B14" s="129">
        <v>557</v>
      </c>
      <c r="C14" s="129">
        <v>629</v>
      </c>
      <c r="D14" s="129">
        <v>898</v>
      </c>
      <c r="E14" s="129">
        <v>996</v>
      </c>
      <c r="F14" s="129">
        <v>1292</v>
      </c>
    </row>
    <row r="15" spans="1:13" ht="19.5" customHeight="1" x14ac:dyDescent="0.3">
      <c r="A15" s="139" t="s">
        <v>221</v>
      </c>
      <c r="B15" s="140">
        <v>1218</v>
      </c>
      <c r="C15" s="140">
        <v>1467</v>
      </c>
      <c r="D15" s="140">
        <v>1979</v>
      </c>
      <c r="E15" s="140">
        <v>2212</v>
      </c>
      <c r="F15" s="140">
        <v>3782</v>
      </c>
    </row>
    <row r="16" spans="1:13" ht="19.5" customHeight="1" x14ac:dyDescent="0.3">
      <c r="A16" s="141" t="s">
        <v>222</v>
      </c>
      <c r="B16" s="142">
        <v>15471</v>
      </c>
      <c r="C16" s="142">
        <v>18105</v>
      </c>
      <c r="D16" s="142">
        <v>21172</v>
      </c>
      <c r="E16" s="142">
        <v>24313</v>
      </c>
      <c r="F16" s="142">
        <v>29518</v>
      </c>
    </row>
    <row r="17" spans="1:6" ht="19.5" customHeight="1" x14ac:dyDescent="0.3">
      <c r="A17" s="143" t="s">
        <v>223</v>
      </c>
      <c r="B17" s="144">
        <v>9260</v>
      </c>
      <c r="C17" s="144">
        <v>11340</v>
      </c>
      <c r="D17" s="144">
        <v>13415</v>
      </c>
      <c r="E17" s="144">
        <v>16206</v>
      </c>
      <c r="F17" s="144">
        <v>20090</v>
      </c>
    </row>
    <row r="18" spans="1:6" ht="19.5" customHeight="1" x14ac:dyDescent="0.3">
      <c r="A18" s="132" t="s">
        <v>224</v>
      </c>
      <c r="B18" s="133">
        <v>4527</v>
      </c>
      <c r="C18" s="133">
        <v>5519</v>
      </c>
      <c r="D18" s="133">
        <v>6904</v>
      </c>
      <c r="E18" s="133">
        <v>8595</v>
      </c>
      <c r="F18" s="133">
        <v>10432</v>
      </c>
    </row>
    <row r="19" spans="1:6" ht="19.5" customHeight="1" x14ac:dyDescent="0.3">
      <c r="A19" s="126" t="s">
        <v>225</v>
      </c>
      <c r="B19" s="127">
        <v>4938</v>
      </c>
      <c r="C19" s="127">
        <v>6201</v>
      </c>
      <c r="D19" s="127">
        <v>7062</v>
      </c>
      <c r="E19" s="127">
        <v>8256</v>
      </c>
      <c r="F19" s="127">
        <v>10391</v>
      </c>
    </row>
    <row r="20" spans="1:6" ht="19.5" customHeight="1" x14ac:dyDescent="0.3">
      <c r="A20" s="126" t="s">
        <v>226</v>
      </c>
      <c r="B20" s="127">
        <v>491</v>
      </c>
      <c r="C20" s="127">
        <v>656</v>
      </c>
      <c r="D20" s="127">
        <v>870</v>
      </c>
      <c r="E20" s="127">
        <v>1141</v>
      </c>
      <c r="F20" s="127">
        <v>1446</v>
      </c>
    </row>
    <row r="21" spans="1:6" ht="19.5" customHeight="1" x14ac:dyDescent="0.3">
      <c r="A21" s="126" t="s">
        <v>227</v>
      </c>
      <c r="B21" s="127">
        <v>73</v>
      </c>
      <c r="C21" s="127">
        <v>85</v>
      </c>
      <c r="D21" s="127">
        <v>97</v>
      </c>
      <c r="E21" s="127">
        <v>115</v>
      </c>
      <c r="F21" s="127">
        <v>140</v>
      </c>
    </row>
    <row r="22" spans="1:6" ht="19.5" customHeight="1" x14ac:dyDescent="0.3">
      <c r="A22" s="126" t="s">
        <v>228</v>
      </c>
      <c r="B22" s="127">
        <v>153</v>
      </c>
      <c r="C22" s="127">
        <v>190</v>
      </c>
      <c r="D22" s="127">
        <v>219</v>
      </c>
      <c r="E22" s="127">
        <v>276</v>
      </c>
      <c r="F22" s="127">
        <v>372</v>
      </c>
    </row>
    <row r="23" spans="1:6" ht="19.5" customHeight="1" x14ac:dyDescent="0.3">
      <c r="A23" s="126" t="s">
        <v>229</v>
      </c>
      <c r="B23" s="127">
        <v>772</v>
      </c>
      <c r="C23" s="127">
        <v>968</v>
      </c>
      <c r="D23" s="127">
        <v>1205</v>
      </c>
      <c r="E23" s="127">
        <v>1515</v>
      </c>
      <c r="F23" s="127">
        <v>1954</v>
      </c>
    </row>
    <row r="24" spans="1:6" ht="19.5" customHeight="1" x14ac:dyDescent="0.3">
      <c r="A24" s="126" t="s">
        <v>230</v>
      </c>
      <c r="B24" s="127">
        <v>3</v>
      </c>
      <c r="C24" s="127">
        <v>15</v>
      </c>
      <c r="D24" s="127">
        <v>17</v>
      </c>
      <c r="E24" s="127">
        <v>6</v>
      </c>
      <c r="F24" s="127">
        <v>8</v>
      </c>
    </row>
    <row r="25" spans="1:6" ht="19.5" customHeight="1" x14ac:dyDescent="0.3">
      <c r="A25" s="126" t="s">
        <v>231</v>
      </c>
      <c r="B25" s="127">
        <v>78</v>
      </c>
      <c r="C25" s="127">
        <v>78</v>
      </c>
      <c r="D25" s="127">
        <v>78</v>
      </c>
      <c r="E25" s="127">
        <v>78</v>
      </c>
      <c r="F25" s="127">
        <v>78</v>
      </c>
    </row>
    <row r="26" spans="1:6" ht="19.5" customHeight="1" x14ac:dyDescent="0.3">
      <c r="A26" s="128" t="s">
        <v>232</v>
      </c>
      <c r="B26" s="129">
        <v>91</v>
      </c>
      <c r="C26" s="129">
        <v>105</v>
      </c>
      <c r="D26" s="129">
        <v>119</v>
      </c>
      <c r="E26" s="129">
        <v>124</v>
      </c>
      <c r="F26" s="129">
        <v>140</v>
      </c>
    </row>
    <row r="27" spans="1:6" ht="19.5" customHeight="1" x14ac:dyDescent="0.3">
      <c r="A27" s="130" t="s">
        <v>233</v>
      </c>
      <c r="B27" s="131">
        <v>11127</v>
      </c>
      <c r="C27" s="131">
        <v>13816</v>
      </c>
      <c r="D27" s="131">
        <v>16571</v>
      </c>
      <c r="E27" s="131">
        <v>20106</v>
      </c>
      <c r="F27" s="131">
        <v>24960</v>
      </c>
    </row>
    <row r="28" spans="1:6" ht="19.5" customHeight="1" x14ac:dyDescent="0.3">
      <c r="A28" s="132" t="s">
        <v>234</v>
      </c>
      <c r="B28" s="133">
        <v>1867</v>
      </c>
      <c r="C28" s="133">
        <v>2476</v>
      </c>
      <c r="D28" s="133">
        <v>3156</v>
      </c>
      <c r="E28" s="133">
        <v>3900</v>
      </c>
      <c r="F28" s="133">
        <v>4870</v>
      </c>
    </row>
    <row r="29" spans="1:6" ht="19.5" customHeight="1" x14ac:dyDescent="0.3">
      <c r="A29" s="126" t="s">
        <v>235</v>
      </c>
      <c r="B29" s="127">
        <v>1129</v>
      </c>
      <c r="C29" s="127">
        <v>829</v>
      </c>
      <c r="D29" s="127">
        <v>935</v>
      </c>
      <c r="E29" s="127">
        <v>1099</v>
      </c>
      <c r="F29" s="127">
        <v>1300</v>
      </c>
    </row>
    <row r="30" spans="1:6" ht="19.5" customHeight="1" x14ac:dyDescent="0.3">
      <c r="A30" s="128" t="s">
        <v>236</v>
      </c>
      <c r="B30" s="129">
        <v>6</v>
      </c>
      <c r="C30" s="129">
        <v>202</v>
      </c>
      <c r="D30" s="129">
        <v>107</v>
      </c>
      <c r="E30" s="129">
        <v>3</v>
      </c>
      <c r="F30" s="129">
        <v>4</v>
      </c>
    </row>
    <row r="31" spans="1:6" ht="19.5" customHeight="1" x14ac:dyDescent="0.3">
      <c r="A31" s="130" t="s">
        <v>237</v>
      </c>
      <c r="B31" s="131">
        <v>5076</v>
      </c>
      <c r="C31" s="131">
        <v>5733</v>
      </c>
      <c r="D31" s="131">
        <v>6716</v>
      </c>
      <c r="E31" s="131">
        <v>7004</v>
      </c>
      <c r="F31" s="131">
        <v>8123</v>
      </c>
    </row>
    <row r="32" spans="1:6" ht="19.5" customHeight="1" x14ac:dyDescent="0.3">
      <c r="A32" s="132" t="s">
        <v>238</v>
      </c>
      <c r="B32" s="133">
        <v>2743</v>
      </c>
      <c r="C32" s="133">
        <v>3243</v>
      </c>
      <c r="D32" s="133">
        <v>3927</v>
      </c>
      <c r="E32" s="133">
        <v>5044</v>
      </c>
      <c r="F32" s="133">
        <v>5901</v>
      </c>
    </row>
    <row r="33" spans="1:6" ht="19.5" customHeight="1" x14ac:dyDescent="0.3">
      <c r="A33" s="126" t="s">
        <v>239</v>
      </c>
      <c r="B33" s="127">
        <v>67</v>
      </c>
      <c r="C33" s="127">
        <v>62</v>
      </c>
      <c r="D33" s="127">
        <v>166</v>
      </c>
      <c r="E33" s="127">
        <v>154</v>
      </c>
      <c r="F33" s="127">
        <v>149</v>
      </c>
    </row>
    <row r="34" spans="1:6" ht="19.5" customHeight="1" x14ac:dyDescent="0.3">
      <c r="A34" s="126" t="s">
        <v>240</v>
      </c>
      <c r="B34" s="127">
        <v>299</v>
      </c>
      <c r="C34" s="127">
        <v>1408</v>
      </c>
      <c r="D34" s="127">
        <v>638</v>
      </c>
      <c r="E34" s="127">
        <v>358</v>
      </c>
      <c r="F34" s="127">
        <v>304</v>
      </c>
    </row>
    <row r="35" spans="1:6" ht="19.5" customHeight="1" x14ac:dyDescent="0.3">
      <c r="A35" s="126" t="s">
        <v>241</v>
      </c>
      <c r="B35" s="127">
        <v>109</v>
      </c>
      <c r="C35" s="127">
        <v>97</v>
      </c>
      <c r="D35" s="127">
        <v>105</v>
      </c>
      <c r="E35" s="127">
        <v>126</v>
      </c>
      <c r="F35" s="127">
        <v>152</v>
      </c>
    </row>
    <row r="36" spans="1:6" ht="19.5" customHeight="1" x14ac:dyDescent="0.3">
      <c r="A36" s="128" t="s">
        <v>242</v>
      </c>
      <c r="B36" s="129">
        <v>1859</v>
      </c>
      <c r="C36" s="129">
        <v>922</v>
      </c>
      <c r="D36" s="129">
        <v>1879</v>
      </c>
      <c r="E36" s="129">
        <v>1321</v>
      </c>
      <c r="F36" s="129">
        <v>1617</v>
      </c>
    </row>
    <row r="37" spans="1:6" ht="19.5" customHeight="1" x14ac:dyDescent="0.3">
      <c r="A37" s="139" t="s">
        <v>243</v>
      </c>
      <c r="B37" s="140">
        <v>3443</v>
      </c>
      <c r="C37" s="140">
        <v>5448</v>
      </c>
      <c r="D37" s="140">
        <v>6202</v>
      </c>
      <c r="E37" s="140">
        <v>6392</v>
      </c>
      <c r="F37" s="140">
        <v>7478</v>
      </c>
    </row>
    <row r="38" spans="1:6" ht="19.5" customHeight="1" x14ac:dyDescent="0.3">
      <c r="A38" s="145" t="s">
        <v>244</v>
      </c>
      <c r="B38" s="146">
        <v>15471</v>
      </c>
      <c r="C38" s="146">
        <v>18105</v>
      </c>
      <c r="D38" s="146">
        <v>21172</v>
      </c>
      <c r="E38" s="146">
        <v>24313</v>
      </c>
      <c r="F38" s="146">
        <v>29518</v>
      </c>
    </row>
  </sheetData>
  <mergeCells count="2">
    <mergeCell ref="A1:F1"/>
    <mergeCell ref="A2:F2"/>
  </mergeCells>
  <pageMargins left="0.75" right="0.75" top="1" bottom="1"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75B5"/>
  </sheetPr>
  <dimension ref="A1:G38"/>
  <sheetViews>
    <sheetView showGridLines="0" topLeftCell="A2" zoomScale="115" zoomScaleNormal="115" workbookViewId="0">
      <selection activeCell="I8" sqref="I8"/>
    </sheetView>
  </sheetViews>
  <sheetFormatPr defaultColWidth="8.5546875" defaultRowHeight="14.4" x14ac:dyDescent="0.3"/>
  <cols>
    <col min="1" max="1" width="39.77734375" customWidth="1"/>
    <col min="2" max="6" width="15.21875" customWidth="1"/>
  </cols>
  <sheetData>
    <row r="1" spans="1:7" ht="30" customHeight="1" x14ac:dyDescent="0.3">
      <c r="A1" s="193" t="s">
        <v>245</v>
      </c>
      <c r="B1" s="193"/>
      <c r="C1" s="193"/>
      <c r="D1" s="193"/>
      <c r="E1" s="193"/>
      <c r="F1" s="193"/>
    </row>
    <row r="2" spans="1:7" ht="19.5" customHeight="1" x14ac:dyDescent="0.3">
      <c r="A2" s="195" t="s">
        <v>188</v>
      </c>
      <c r="B2" s="195"/>
      <c r="C2" s="195"/>
      <c r="D2" s="195"/>
      <c r="E2" s="195"/>
      <c r="F2" s="195"/>
    </row>
    <row r="3" spans="1:7" s="41" customFormat="1" ht="22.5" customHeight="1" x14ac:dyDescent="0.3">
      <c r="A3" s="93"/>
      <c r="B3" s="94">
        <v>44621</v>
      </c>
      <c r="C3" s="94">
        <v>44986</v>
      </c>
      <c r="D3" s="94">
        <v>45352</v>
      </c>
      <c r="E3" s="94">
        <v>45717</v>
      </c>
      <c r="F3" s="94">
        <v>46082</v>
      </c>
    </row>
    <row r="4" spans="1:7" ht="19.5" customHeight="1" x14ac:dyDescent="0.3">
      <c r="A4" s="147" t="s">
        <v>246</v>
      </c>
      <c r="B4" s="142">
        <v>1372</v>
      </c>
      <c r="C4" s="142">
        <v>2630</v>
      </c>
      <c r="D4" s="142">
        <v>2746</v>
      </c>
      <c r="E4" s="142">
        <v>2463</v>
      </c>
      <c r="F4" s="142">
        <v>3467</v>
      </c>
      <c r="G4" s="148"/>
    </row>
    <row r="5" spans="1:7" ht="19.5" customHeight="1" x14ac:dyDescent="0.3">
      <c r="A5" s="99" t="s">
        <v>247</v>
      </c>
      <c r="B5" s="133">
        <v>2515</v>
      </c>
      <c r="C5" s="133">
        <v>3659</v>
      </c>
      <c r="D5" s="133">
        <v>4131</v>
      </c>
      <c r="E5" s="133">
        <v>4535</v>
      </c>
      <c r="F5" s="133">
        <v>5233</v>
      </c>
      <c r="G5" s="148"/>
    </row>
    <row r="6" spans="1:7" ht="19.5" customHeight="1" x14ac:dyDescent="0.3">
      <c r="A6" s="101" t="s">
        <v>248</v>
      </c>
      <c r="B6" s="127">
        <v>-23</v>
      </c>
      <c r="C6" s="127">
        <v>5</v>
      </c>
      <c r="D6" s="127">
        <v>-104</v>
      </c>
      <c r="E6" s="127">
        <v>13</v>
      </c>
      <c r="F6" s="127">
        <v>4</v>
      </c>
    </row>
    <row r="7" spans="1:7" ht="19.5" customHeight="1" x14ac:dyDescent="0.3">
      <c r="A7" s="101" t="s">
        <v>249</v>
      </c>
      <c r="B7" s="127">
        <v>-494</v>
      </c>
      <c r="C7" s="127">
        <v>-501</v>
      </c>
      <c r="D7" s="127">
        <v>-684</v>
      </c>
      <c r="E7" s="127">
        <v>-1117</v>
      </c>
      <c r="F7" s="127">
        <v>-856</v>
      </c>
    </row>
    <row r="8" spans="1:7" ht="19.5" customHeight="1" x14ac:dyDescent="0.3">
      <c r="A8" s="101" t="s">
        <v>250</v>
      </c>
      <c r="B8" s="127">
        <v>11</v>
      </c>
      <c r="C8" s="127">
        <v>165</v>
      </c>
      <c r="D8" s="127">
        <v>231</v>
      </c>
      <c r="E8" s="127">
        <v>86</v>
      </c>
      <c r="F8" s="127">
        <v>267</v>
      </c>
    </row>
    <row r="9" spans="1:7" ht="19.5" customHeight="1" x14ac:dyDescent="0.3">
      <c r="A9" s="101" t="s">
        <v>251</v>
      </c>
      <c r="B9" s="127">
        <v>0</v>
      </c>
      <c r="C9" s="127">
        <v>0</v>
      </c>
      <c r="D9" s="127">
        <v>0</v>
      </c>
      <c r="E9" s="127">
        <v>0</v>
      </c>
      <c r="F9" s="127">
        <v>0</v>
      </c>
    </row>
    <row r="10" spans="1:7" ht="19.5" customHeight="1" x14ac:dyDescent="0.3">
      <c r="A10" s="101" t="s">
        <v>252</v>
      </c>
      <c r="B10" s="127">
        <v>-3</v>
      </c>
      <c r="C10" s="127">
        <v>0</v>
      </c>
      <c r="D10" s="127">
        <v>0</v>
      </c>
      <c r="E10" s="127">
        <v>0</v>
      </c>
      <c r="F10" s="127">
        <v>0</v>
      </c>
    </row>
    <row r="11" spans="1:7" ht="19.5" customHeight="1" x14ac:dyDescent="0.3">
      <c r="A11" s="103" t="s">
        <v>253</v>
      </c>
      <c r="B11" s="129">
        <v>-73</v>
      </c>
      <c r="C11" s="129">
        <v>12</v>
      </c>
      <c r="D11" s="129">
        <v>-87</v>
      </c>
      <c r="E11" s="129">
        <v>-94</v>
      </c>
      <c r="F11" s="129">
        <v>-114</v>
      </c>
    </row>
    <row r="12" spans="1:7" ht="19.5" customHeight="1" x14ac:dyDescent="0.3">
      <c r="A12" s="149" t="s">
        <v>254</v>
      </c>
      <c r="B12" s="150">
        <v>-582</v>
      </c>
      <c r="C12" s="150">
        <v>-320</v>
      </c>
      <c r="D12" s="150">
        <v>-644</v>
      </c>
      <c r="E12" s="150">
        <v>-1113</v>
      </c>
      <c r="F12" s="150">
        <v>-699</v>
      </c>
    </row>
    <row r="13" spans="1:7" ht="19.5" customHeight="1" x14ac:dyDescent="0.3">
      <c r="A13" s="151" t="s">
        <v>255</v>
      </c>
      <c r="B13" s="152">
        <v>-560</v>
      </c>
      <c r="C13" s="152">
        <v>-709</v>
      </c>
      <c r="D13" s="152">
        <v>-742</v>
      </c>
      <c r="E13" s="152">
        <v>-959</v>
      </c>
      <c r="F13" s="152">
        <v>-1068</v>
      </c>
    </row>
    <row r="14" spans="1:7" ht="19.5" customHeight="1" x14ac:dyDescent="0.3">
      <c r="A14" s="153" t="s">
        <v>256</v>
      </c>
      <c r="B14" s="154">
        <v>-1289</v>
      </c>
      <c r="C14" s="154">
        <v>-2313</v>
      </c>
      <c r="D14" s="154">
        <v>-2468</v>
      </c>
      <c r="E14" s="154">
        <v>-2185</v>
      </c>
      <c r="F14" s="154">
        <v>-4207</v>
      </c>
    </row>
    <row r="15" spans="1:7" ht="19.5" customHeight="1" x14ac:dyDescent="0.3">
      <c r="A15" s="99" t="s">
        <v>257</v>
      </c>
      <c r="B15" s="133">
        <v>-2410</v>
      </c>
      <c r="C15" s="133">
        <v>-2212</v>
      </c>
      <c r="D15" s="133">
        <v>-2731</v>
      </c>
      <c r="E15" s="133">
        <v>-3423</v>
      </c>
      <c r="F15" s="133">
        <v>-4113</v>
      </c>
    </row>
    <row r="16" spans="1:7" ht="19.5" customHeight="1" x14ac:dyDescent="0.3">
      <c r="A16" s="101" t="s">
        <v>258</v>
      </c>
      <c r="B16" s="127">
        <v>21</v>
      </c>
      <c r="C16" s="127">
        <v>5</v>
      </c>
      <c r="D16" s="127">
        <v>9</v>
      </c>
      <c r="E16" s="127">
        <v>6</v>
      </c>
      <c r="F16" s="127">
        <v>0</v>
      </c>
    </row>
    <row r="17" spans="1:6" ht="19.5" customHeight="1" x14ac:dyDescent="0.3">
      <c r="A17" s="101" t="s">
        <v>259</v>
      </c>
      <c r="B17" s="127">
        <v>0</v>
      </c>
      <c r="C17" s="127">
        <v>-193</v>
      </c>
      <c r="D17" s="127">
        <v>-4201</v>
      </c>
      <c r="E17" s="127">
        <v>-4948</v>
      </c>
      <c r="F17" s="127">
        <v>-3119</v>
      </c>
    </row>
    <row r="18" spans="1:6" ht="19.5" customHeight="1" x14ac:dyDescent="0.3">
      <c r="A18" s="101" t="s">
        <v>260</v>
      </c>
      <c r="B18" s="127">
        <v>4</v>
      </c>
      <c r="C18" s="127">
        <v>6</v>
      </c>
      <c r="D18" s="127">
        <v>4324</v>
      </c>
      <c r="E18" s="127">
        <v>5074</v>
      </c>
      <c r="F18" s="127">
        <v>3123</v>
      </c>
    </row>
    <row r="19" spans="1:6" ht="19.5" customHeight="1" x14ac:dyDescent="0.3">
      <c r="A19" s="101" t="s">
        <v>261</v>
      </c>
      <c r="B19" s="127">
        <v>0</v>
      </c>
      <c r="C19" s="127">
        <v>0</v>
      </c>
      <c r="D19" s="127">
        <v>0</v>
      </c>
      <c r="E19" s="127">
        <v>0</v>
      </c>
      <c r="F19" s="127">
        <v>0</v>
      </c>
    </row>
    <row r="20" spans="1:6" ht="19.5" customHeight="1" x14ac:dyDescent="0.3">
      <c r="A20" s="101" t="s">
        <v>262</v>
      </c>
      <c r="B20" s="127">
        <v>43</v>
      </c>
      <c r="C20" s="127">
        <v>39</v>
      </c>
      <c r="D20" s="127">
        <v>262</v>
      </c>
      <c r="E20" s="127">
        <v>103</v>
      </c>
      <c r="F20" s="127">
        <v>44</v>
      </c>
    </row>
    <row r="21" spans="1:6" ht="19.5" customHeight="1" x14ac:dyDescent="0.3">
      <c r="A21" s="101" t="s">
        <v>263</v>
      </c>
      <c r="B21" s="127">
        <v>0</v>
      </c>
      <c r="C21" s="127">
        <v>0</v>
      </c>
      <c r="D21" s="127">
        <v>0</v>
      </c>
      <c r="E21" s="127">
        <v>0</v>
      </c>
      <c r="F21" s="127">
        <v>0</v>
      </c>
    </row>
    <row r="22" spans="1:6" ht="19.5" customHeight="1" x14ac:dyDescent="0.3">
      <c r="A22" s="101" t="s">
        <v>264</v>
      </c>
      <c r="B22" s="127">
        <v>0</v>
      </c>
      <c r="C22" s="127">
        <v>0</v>
      </c>
      <c r="D22" s="127">
        <v>0</v>
      </c>
      <c r="E22" s="127">
        <v>0</v>
      </c>
      <c r="F22" s="127">
        <v>0</v>
      </c>
    </row>
    <row r="23" spans="1:6" ht="19.5" customHeight="1" x14ac:dyDescent="0.3">
      <c r="A23" s="101" t="s">
        <v>265</v>
      </c>
      <c r="B23" s="127">
        <v>0</v>
      </c>
      <c r="C23" s="127">
        <v>0</v>
      </c>
      <c r="D23" s="127">
        <v>0</v>
      </c>
      <c r="E23" s="127">
        <v>0</v>
      </c>
      <c r="F23" s="127">
        <v>0</v>
      </c>
    </row>
    <row r="24" spans="1:6" ht="19.5" customHeight="1" x14ac:dyDescent="0.3">
      <c r="A24" s="103" t="s">
        <v>266</v>
      </c>
      <c r="B24" s="129">
        <v>1054</v>
      </c>
      <c r="C24" s="129">
        <v>42</v>
      </c>
      <c r="D24" s="129">
        <v>-131</v>
      </c>
      <c r="E24" s="129">
        <v>1004</v>
      </c>
      <c r="F24" s="129">
        <v>-141</v>
      </c>
    </row>
    <row r="25" spans="1:6" ht="19.5" customHeight="1" x14ac:dyDescent="0.3">
      <c r="A25" s="147" t="s">
        <v>267</v>
      </c>
      <c r="B25" s="142">
        <v>-179</v>
      </c>
      <c r="C25" s="142">
        <v>-205</v>
      </c>
      <c r="D25" s="142">
        <v>-148</v>
      </c>
      <c r="E25" s="142">
        <v>-259</v>
      </c>
      <c r="F25" s="142">
        <v>288</v>
      </c>
    </row>
    <row r="26" spans="1:6" ht="19.5" customHeight="1" x14ac:dyDescent="0.3">
      <c r="A26" s="99" t="s">
        <v>268</v>
      </c>
      <c r="B26" s="133">
        <v>0</v>
      </c>
      <c r="C26" s="133">
        <v>15</v>
      </c>
      <c r="D26" s="133">
        <v>75</v>
      </c>
      <c r="E26" s="133">
        <v>0</v>
      </c>
      <c r="F26" s="133">
        <v>37</v>
      </c>
    </row>
    <row r="27" spans="1:6" ht="19.5" customHeight="1" x14ac:dyDescent="0.3">
      <c r="A27" s="101" t="s">
        <v>269</v>
      </c>
      <c r="B27" s="127">
        <v>0</v>
      </c>
      <c r="C27" s="127">
        <v>0</v>
      </c>
      <c r="D27" s="127">
        <v>0</v>
      </c>
      <c r="E27" s="127">
        <v>0</v>
      </c>
      <c r="F27" s="127">
        <v>0</v>
      </c>
    </row>
    <row r="28" spans="1:6" ht="19.5" customHeight="1" x14ac:dyDescent="0.3">
      <c r="A28" s="101" t="s">
        <v>270</v>
      </c>
      <c r="B28" s="127">
        <v>0</v>
      </c>
      <c r="C28" s="127">
        <v>0</v>
      </c>
      <c r="D28" s="127">
        <v>0</v>
      </c>
      <c r="E28" s="127">
        <v>0</v>
      </c>
      <c r="F28" s="127">
        <v>0</v>
      </c>
    </row>
    <row r="29" spans="1:6" ht="19.5" customHeight="1" x14ac:dyDescent="0.3">
      <c r="A29" s="101" t="s">
        <v>271</v>
      </c>
      <c r="B29" s="127">
        <v>248</v>
      </c>
      <c r="C29" s="127">
        <v>0</v>
      </c>
      <c r="D29" s="127">
        <v>0</v>
      </c>
      <c r="E29" s="127">
        <v>0</v>
      </c>
      <c r="F29" s="127">
        <v>1588</v>
      </c>
    </row>
    <row r="30" spans="1:6" ht="19.5" customHeight="1" x14ac:dyDescent="0.3">
      <c r="A30" s="101" t="s">
        <v>272</v>
      </c>
      <c r="B30" s="127">
        <v>-248</v>
      </c>
      <c r="C30" s="127">
        <v>0</v>
      </c>
      <c r="D30" s="127">
        <v>0</v>
      </c>
      <c r="E30" s="127">
        <v>0</v>
      </c>
      <c r="F30" s="127">
        <v>-1003</v>
      </c>
    </row>
    <row r="31" spans="1:6" ht="19.5" customHeight="1" x14ac:dyDescent="0.3">
      <c r="A31" s="101" t="s">
        <v>273</v>
      </c>
      <c r="B31" s="127">
        <v>-54</v>
      </c>
      <c r="C31" s="127">
        <v>-67</v>
      </c>
      <c r="D31" s="127">
        <v>-58</v>
      </c>
      <c r="E31" s="127">
        <v>-69</v>
      </c>
      <c r="F31" s="127">
        <v>-141</v>
      </c>
    </row>
    <row r="32" spans="1:6" ht="19.5" customHeight="1" x14ac:dyDescent="0.3">
      <c r="A32" s="101" t="s">
        <v>274</v>
      </c>
      <c r="B32" s="127">
        <v>-125</v>
      </c>
      <c r="C32" s="127">
        <v>-153</v>
      </c>
      <c r="D32" s="127">
        <v>-164</v>
      </c>
      <c r="E32" s="127">
        <v>-190</v>
      </c>
      <c r="F32" s="127">
        <v>-194</v>
      </c>
    </row>
    <row r="33" spans="1:6" ht="19.5" customHeight="1" x14ac:dyDescent="0.3">
      <c r="A33" s="101" t="s">
        <v>275</v>
      </c>
      <c r="B33" s="127">
        <v>0</v>
      </c>
      <c r="C33" s="127">
        <v>1</v>
      </c>
      <c r="D33" s="127">
        <v>0</v>
      </c>
      <c r="E33" s="127">
        <v>0</v>
      </c>
      <c r="F33" s="127">
        <v>0</v>
      </c>
    </row>
    <row r="34" spans="1:6" ht="19.5" customHeight="1" x14ac:dyDescent="0.3">
      <c r="A34" s="101" t="s">
        <v>276</v>
      </c>
      <c r="B34" s="127">
        <v>0</v>
      </c>
      <c r="C34" s="127">
        <v>0</v>
      </c>
      <c r="D34" s="127">
        <v>0</v>
      </c>
      <c r="E34" s="127">
        <v>0</v>
      </c>
      <c r="F34" s="127">
        <v>1</v>
      </c>
    </row>
    <row r="35" spans="1:6" ht="19.5" customHeight="1" x14ac:dyDescent="0.3">
      <c r="A35" s="103" t="s">
        <v>277</v>
      </c>
      <c r="B35" s="129">
        <v>0</v>
      </c>
      <c r="C35" s="129">
        <v>0</v>
      </c>
      <c r="D35" s="129">
        <v>0</v>
      </c>
      <c r="E35" s="129">
        <v>0</v>
      </c>
      <c r="F35" s="129">
        <v>0</v>
      </c>
    </row>
    <row r="36" spans="1:6" ht="19.5" customHeight="1" x14ac:dyDescent="0.3">
      <c r="A36" s="155" t="s">
        <v>278</v>
      </c>
      <c r="B36" s="150">
        <v>-96</v>
      </c>
      <c r="C36" s="150">
        <v>112</v>
      </c>
      <c r="D36" s="150">
        <v>130</v>
      </c>
      <c r="E36" s="150">
        <v>18</v>
      </c>
      <c r="F36" s="150">
        <v>-452</v>
      </c>
    </row>
    <row r="37" spans="1:6" ht="19.5" customHeight="1" x14ac:dyDescent="0.3">
      <c r="A37" s="156" t="s">
        <v>279</v>
      </c>
      <c r="B37" s="157">
        <v>-1017</v>
      </c>
      <c r="C37" s="157">
        <v>424</v>
      </c>
      <c r="D37" s="157">
        <v>24</v>
      </c>
      <c r="E37" s="157">
        <v>-954</v>
      </c>
      <c r="F37" s="157">
        <v>-646</v>
      </c>
    </row>
    <row r="38" spans="1:6" ht="24" customHeight="1" x14ac:dyDescent="0.3">
      <c r="A38" s="158" t="s">
        <v>280</v>
      </c>
      <c r="B38" s="159">
        <f>-SUMIF(B6:B11,"&lt;0",B6:B11)-MIN(B13,0)-SUMIF(B15:B24,"&lt;0",B15:B24)-SUMIF(B26:B35,"&lt;0",B26:B35)</f>
        <v>3990</v>
      </c>
      <c r="C38" s="159">
        <f>-SUMIF(C6:C11,"&lt;0",C6:C11)-MIN(C13,0)-SUMIF(C15:C24,"&lt;0",C15:C24)-SUMIF(C26:C35,"&lt;0",C26:C35)</f>
        <v>3835</v>
      </c>
      <c r="D38" s="159">
        <f>-SUMIF(D6:D11,"&lt;0",D6:D11)-MIN(D13,0)-SUMIF(D15:D24,"&lt;0",D15:D24)-SUMIF(D26:D35,"&lt;0",D26:D35)</f>
        <v>8902</v>
      </c>
      <c r="E38" s="159">
        <f>-SUMIF(E6:E11,"&lt;0",E6:E11)-MIN(E13,0)-SUMIF(E15:E24,"&lt;0",E15:E24)-SUMIF(E26:E35,"&lt;0",E26:E35)</f>
        <v>10800</v>
      </c>
      <c r="F38" s="159">
        <f>-SUMIF(F6:F11,"&lt;0",F6:F11)-MIN(F13,0)-SUMIF(F15:F24,"&lt;0",F15:F24)-SUMIF(F26:F35,"&lt;0",F26:F35)</f>
        <v>10749</v>
      </c>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Cover</vt:lpstr>
      <vt:lpstr>Summary</vt:lpstr>
      <vt:lpstr>Assumption</vt:lpstr>
      <vt:lpstr>Ratio Analysis</vt:lpstr>
      <vt:lpstr>Analysis</vt:lpstr>
      <vt:lpstr>Profit &amp; Loss</vt:lpstr>
      <vt:lpstr>Balance Sheet</vt:lpstr>
      <vt:lpstr>Cashflow Statement</vt:lpstr>
      <vt:lpstr>Cover!Print_Area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Mihir Bhatt</cp:lastModifiedBy>
  <cp:revision>6</cp:revision>
  <dcterms:created xsi:type="dcterms:W3CDTF">2026-09-12T06:57:56Z</dcterms:created>
  <dcterms:modified xsi:type="dcterms:W3CDTF">2026-09-15T04:26:57Z</dcterms:modified>
  <dc:language>en-US</dc:language>
</cp:coreProperties>
</file>